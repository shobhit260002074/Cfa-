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_Exec_Summary_KPIs" sheetId="1" r:id="rId5"/>
    <sheet state="visible" name="2_Route_PnL_and_BLF" sheetId="2" r:id="rId6"/>
    <sheet state="visible" name="3_Strategic_Options_ABC" sheetId="3" r:id="rId7"/>
    <sheet state="visible" name="4_Risk_Sensitivity_Matrix" sheetId="4" r:id="rId8"/>
  </sheets>
  <definedNames/>
  <calcPr/>
</workbook>
</file>

<file path=xl/sharedStrings.xml><?xml version="1.0" encoding="utf-8"?>
<sst xmlns="http://schemas.openxmlformats.org/spreadsheetml/2006/main" count="325" uniqueCount="172">
  <si>
    <t>DECCANWINGS REGIONAL AIRLINE — FY25 ATF PRICE SHOCK &amp; TURNAROUND MODEL</t>
  </si>
  <si>
    <t>CFA Club IIT Indore Induction (PS1: Consulting &amp; Product Management) | Public Benchmarks: DGCA, IOCL, IndiGo, SpiceJet, MoCA UDAN</t>
  </si>
  <si>
    <t>1. MACROECONOMIC, FUEL &amp; FLEET OPERATING ASSUMPTIONS (PUBLIC BENCHMARKS)</t>
  </si>
  <si>
    <t>Parameter Code</t>
  </si>
  <si>
    <t>Operating / Macro Parameter</t>
  </si>
  <si>
    <t>Baseline (Pre-Shock)</t>
  </si>
  <si>
    <t>FY25 Shock / Target</t>
  </si>
  <si>
    <t>Units</t>
  </si>
  <si>
    <t>Benchmark Source &amp; Grounded Reference</t>
  </si>
  <si>
    <t>ATF_BASE</t>
  </si>
  <si>
    <t>Domestic Metro ATF Price (Pre-Shock Baseline)</t>
  </si>
  <si>
    <t>INR / kl</t>
  </si>
  <si>
    <t>ATF_LITRE</t>
  </si>
  <si>
    <t>Effective ATF Price per Litre (Delivered Into-Plane)</t>
  </si>
  <si>
    <t>INR / Litre</t>
  </si>
  <si>
    <t>ATF_UDAN</t>
  </si>
  <si>
    <t>Concessional ATF Price under RCS-UDAN (1% State VAT)</t>
  </si>
  <si>
    <t>SEATS_A320</t>
  </si>
  <si>
    <t>Narrow-Body Jet Capacity (Airbus A320ceo Standard)</t>
  </si>
  <si>
    <t>Seats</t>
  </si>
  <si>
    <t>SEATS_ATR</t>
  </si>
  <si>
    <t>Regional Turboprop Capacity (ATR 72-600 Standard)</t>
  </si>
  <si>
    <t>CASK_INDIGO</t>
  </si>
  <si>
    <t>Benchmark Leader Total CASK (IndiGo FY25 Official)</t>
  </si>
  <si>
    <t>INR / ASK</t>
  </si>
  <si>
    <t>CASK_SPICE</t>
  </si>
  <si>
    <t>Distressed Carrier Total CASK (SpiceJet FY25 Proxy)</t>
  </si>
  <si>
    <t>YIELD_INDIGO</t>
  </si>
  <si>
    <t>Benchmark Passenger Yield (IndiGo FY25 Official)</t>
  </si>
  <si>
    <t>INR / RPK</t>
  </si>
  <si>
    <t>UDAN_VGF</t>
  </si>
  <si>
    <t>Average RCS-UDAN Viability Gap Funding (VGF) Subsidy</t>
  </si>
  <si>
    <t>INR / RCS Seat</t>
  </si>
  <si>
    <t>UDAN_CAP</t>
  </si>
  <si>
    <t>MoCA UDAN Capped Airfare (50% of Seats for ~500km)</t>
  </si>
  <si>
    <t>INR / Pax</t>
  </si>
  <si>
    <t>2. EXECUTIVE DIAGNOSTIC &amp; STRATEGIC OPTIONS BRIDGE (ANNUALIZED NETWORK P&amp;L)</t>
  </si>
  <si>
    <t>Scenario / Strategic Path</t>
  </si>
  <si>
    <t>Active Routes</t>
  </si>
  <si>
    <t>Annual ASK (Millions)</t>
  </si>
  <si>
    <t>Network Load Factor</t>
  </si>
  <si>
    <t>Blended RASK (INR)</t>
  </si>
  <si>
    <t>Blended CASK (INR)</t>
  </si>
  <si>
    <t>Breakeven LF (BLF)</t>
  </si>
  <si>
    <t>Annual EBITDAR (INR Cr)</t>
  </si>
  <si>
    <t>Net Operating Margin (%)</t>
  </si>
  <si>
    <t>1. Pre-Shock Baseline (FY24 @ INR 86,000/kl ATF)</t>
  </si>
  <si>
    <t>2. FY25 ATF Shock Status Quo (@ INR 1,04,927/kl ATF)</t>
  </si>
  <si>
    <t>3. Standalone Option A (Network Pruning + Dynamic Pricing)</t>
  </si>
  <si>
    <t>4. Standalone Option B (Aggressive UDAN VGF Expansion)</t>
  </si>
  <si>
    <t>5. Standalone Option C (Fleet Turboprop Swap + Cost Reset)</t>
  </si>
  <si>
    <t>6. RECOMMENDED INTEGRATED PATH (Phased A -&gt; B -&gt; C)</t>
  </si>
  <si>
    <t>STEP 1 DIAGNOSIS: ROUTE-LEVEL P&amp;L, BREAKEVEN LOAD FACTOR (BLF) &amp; LOSS ATTRIBUTION</t>
  </si>
  <si>
    <t>Separating Fuel-Driven Losses (+22.0% ATF Spike) from Structurally Embedded Losses (Gauge Mismatch &amp; Sub-380km Rail Competition)</t>
  </si>
  <si>
    <t>Route ID</t>
  </si>
  <si>
    <t>Origin - Destination Pair</t>
  </si>
  <si>
    <t>Archetype</t>
  </si>
  <si>
    <t>Stage (km)</t>
  </si>
  <si>
    <t>Daily Flights</t>
  </si>
  <si>
    <t>Seats / Flight</t>
  </si>
  <si>
    <t>Actual LF (%)</t>
  </si>
  <si>
    <t>Annual Pax</t>
  </si>
  <si>
    <t>Annual ASK (M)</t>
  </si>
  <si>
    <t>Annual RPK (M)</t>
  </si>
  <si>
    <t>Pax Yield (INR/RPK)</t>
  </si>
  <si>
    <t>Ancillary (INR/Pax)</t>
  </si>
  <si>
    <t>Total RASK (INR)</t>
  </si>
  <si>
    <t>Annual Rev (INR Cr)</t>
  </si>
  <si>
    <t>Pre-Shock Fuel CASK</t>
  </si>
  <si>
    <t>Pre-Shock Total CASK</t>
  </si>
  <si>
    <t>Shock Fuel CASK</t>
  </si>
  <si>
    <t>Shock Total CASK</t>
  </si>
  <si>
    <t>Ex-Fuel CASK (INR)</t>
  </si>
  <si>
    <t>Pre-Shock P&amp;L (Cr)</t>
  </si>
  <si>
    <t>Post-Shock P&amp;L (Cr)</t>
  </si>
  <si>
    <t>Pre-Shock BLF (%)</t>
  </si>
  <si>
    <t>Post-Shock BLF (%)</t>
  </si>
  <si>
    <t>Structural Loss (Cr)</t>
  </si>
  <si>
    <t>Fuel-Driven Loss (Cr)</t>
  </si>
  <si>
    <t>Diagnostic Classification</t>
  </si>
  <si>
    <t>R1</t>
  </si>
  <si>
    <t>Indore - Mumbai (IDR-BOM)</t>
  </si>
  <si>
    <t>Cat 1: Core Feeder</t>
  </si>
  <si>
    <t>R2</t>
  </si>
  <si>
    <t>Bhopal - Delhi (BHO-DEL)</t>
  </si>
  <si>
    <t>R3</t>
  </si>
  <si>
    <t>Surat - Bengaluru (STV-BLR)</t>
  </si>
  <si>
    <t>R4</t>
  </si>
  <si>
    <t>Belagavi - Mumbai (IXG-BOM)</t>
  </si>
  <si>
    <t>Cat 2: Gauge Mismatch</t>
  </si>
  <si>
    <t>R5</t>
  </si>
  <si>
    <t>Jabalpur - Delhi (JLR-DEL)</t>
  </si>
  <si>
    <t>R6</t>
  </si>
  <si>
    <t>Gorakhpur - Mumbai (GOP-BOM)</t>
  </si>
  <si>
    <t>R7</t>
  </si>
  <si>
    <t>Nashik - Mumbai (ISK-BOM)</t>
  </si>
  <si>
    <t>Cat 3: Unviable Short</t>
  </si>
  <si>
    <t>R8</t>
  </si>
  <si>
    <t>Kanpur - Delhi (KNU-DEL)</t>
  </si>
  <si>
    <t>TOTAL</t>
  </si>
  <si>
    <t>Network Total / Weighted Average</t>
  </si>
  <si>
    <t>8 Active Routes</t>
  </si>
  <si>
    <t>Net P&amp;L Decomposition Complete</t>
  </si>
  <si>
    <t>STEP 2 &amp; STEP 3: QUANTITATIVE MODELING OF STRATEGIC OPTIONS A, B, C &amp; INTEGRATED ROADMAP</t>
  </si>
  <si>
    <t>Comparing Option A (Network Optimization &amp; Elasticity), Option B (UDAN VGF &amp; Fare Caps), Option C (ATR 72-600 Fleet Swap), and Recommended Hybrid Path</t>
  </si>
  <si>
    <t>OPTION A: NETWORK OPTIMIZATION &amp; DYNAMIC PRICING (PRUNE R7-R8 + YIELD MANAGEMENT)</t>
  </si>
  <si>
    <t>Route Name</t>
  </si>
  <si>
    <t>Action / Strategic Lever Applied</t>
  </si>
  <si>
    <t>Daily Flts &amp; Gauge</t>
  </si>
  <si>
    <t>Modeled LF (%)</t>
  </si>
  <si>
    <t>Modeled RASK (INR)</t>
  </si>
  <si>
    <t>Modeled CASK (INR)</t>
  </si>
  <si>
    <t>Modeled BLF (%)</t>
  </si>
  <si>
    <t>Variance vs. Shock (INR Cr)</t>
  </si>
  <si>
    <t>Indore - Mumbai</t>
  </si>
  <si>
    <t>Dynamic Peak Pricing (+8% Yield, e = -0.42)</t>
  </si>
  <si>
    <t>4x A320 (180s)</t>
  </si>
  <si>
    <t>Bhopal - Delhi</t>
  </si>
  <si>
    <t>Dynamic Peak Pricing (+7.5% Yield, e = -0.45)</t>
  </si>
  <si>
    <t>Surat - Bengaluru</t>
  </si>
  <si>
    <t>Belagavi - Mumbai</t>
  </si>
  <si>
    <t>Consolidate Frequency &amp; Advance Purchase Tiers</t>
  </si>
  <si>
    <t>1x A320 (180s)</t>
  </si>
  <si>
    <t>Jabalpur - Delhi</t>
  </si>
  <si>
    <t>Gorakhpur - Mumbai</t>
  </si>
  <si>
    <t>Consolidate Frequency &amp; Off-Peak Stimulative Fare</t>
  </si>
  <si>
    <t>Nashik - Mumbai</t>
  </si>
  <si>
    <t>IMMEDIATE ROUTE EXIT (Avoidable Cash Burn Cut)</t>
  </si>
  <si>
    <t>0x (Exited)</t>
  </si>
  <si>
    <t>Kanpur - Delhi</t>
  </si>
  <si>
    <t>Option Network Total / Weighted Average</t>
  </si>
  <si>
    <t>Consolidated Impact</t>
  </si>
  <si>
    <t>-</t>
  </si>
  <si>
    <t>OPTION B: GOVERNMENT-BACKED UDAN EXPANSION ON ALL TIER-3 ROUTES (A320 GAUGE RETAINED)</t>
  </si>
  <si>
    <t>Non-RCS Commercial Trunk (Unchanged)</t>
  </si>
  <si>
    <t>UDAN RCS Conversion (VGF + 1% VAT, 40-Seat Cap)</t>
  </si>
  <si>
    <t>2x A320 (180s)</t>
  </si>
  <si>
    <t>UDAN RCS Conversion (140 Unsubsidized A320 Seats Bleed)</t>
  </si>
  <si>
    <t>OPTION C: STRUCTURAL OPERATING MODEL REDESIGN (ATR 72-600 TURBOPROP SWAP + COST RESET)</t>
  </si>
  <si>
    <t>A320 Retained + PBH Maintenance &amp; Fuel Tankering (-4% CASK)</t>
  </si>
  <si>
    <t>Fleet Right-Sizing to ATR 72-600 (78s) -&gt; LF Jumps to 84%</t>
  </si>
  <si>
    <t>3x ATR72 (78s)</t>
  </si>
  <si>
    <t>Fleet Right-Sizing to ATR 72-600 (78s) -&gt; LF Jumps to 83%</t>
  </si>
  <si>
    <t>Fleet Right-Sizing to ATR 72-600 (78s) -&gt; LF Jumps to 85%</t>
  </si>
  <si>
    <t>ATR 72-600 Swap (Still Sub-Scale vs. Rail Competition)</t>
  </si>
  <si>
    <t>ATR 72-600 Swap (Still Sub-Scale vs. Vande Bharat Rail)</t>
  </si>
  <si>
    <t>RECOMMENDED INTEGRATED PATH: PHASED A (PRUNE &amp; REPRICE) + B (SELECTIVE UDAN) + C (ATR72 GAUGE SWAP)</t>
  </si>
  <si>
    <t>Core Trunk + Slot Redeployment (5x A320 + Dynamic Pricing + PBH)</t>
  </si>
  <si>
    <t>5x A320 (180s)</t>
  </si>
  <si>
    <t>ATR 72-600 (78s) + Selective UDAN VGF (1% VAT + 88% LF)</t>
  </si>
  <si>
    <t>ATR 72-600 (78s) + Selective UDAN VGF (1% VAT + 87% LF)</t>
  </si>
  <si>
    <t>EXITED IN MONTH 1 (Aircraft Sub-leased / Slots Redeployed)</t>
  </si>
  <si>
    <t>STEP 4: TWO-WAY SENSITIVITY MATRIX &amp; STRESS SCENARIO MODELING</t>
  </si>
  <si>
    <t>Modeling Network EBITDAR (INR Cr) across ATF Fuel Price Shocks (INR/kl) vs. Passenger Yield / Load Factor Realization</t>
  </si>
  <si>
    <t>1. TWO-WAY SENSITIVITY: RECOMMENDED STRATEGY ANNUAL EBITDAR (INR CR) — ATF PRICE vs. YIELD SHIFT</t>
  </si>
  <si>
    <t>ATF Price (INR/kl) \ Yield Shift</t>
  </si>
  <si>
    <t>2. MANDATORY STRESS SCENARIOS &amp; QUANTIFIED MITIGATION MECHANISMS</t>
  </si>
  <si>
    <t>Risk Scenario Code</t>
  </si>
  <si>
    <t>Macro / Operational Trigger</t>
  </si>
  <si>
    <t>Unmitigated EBITDAR Impact (INR Cr)</t>
  </si>
  <si>
    <t>Specific Mitigation Mechanism</t>
  </si>
  <si>
    <t>Post-Mitigation EBITDAR (INR Cr)</t>
  </si>
  <si>
    <t>Residual BLF (%)</t>
  </si>
  <si>
    <t>Scenario 1: Severe Macro Fuel &amp; FX Shock</t>
  </si>
  <si>
    <t>Brent Crude spikes to $105/bbl + INR depreciates to 89/USD -&gt; ATF hits INR 1,22,000/kl (+16.3% above FY25 shock)</t>
  </si>
  <si>
    <t>Automatic Fuel Surcharge Indexation (INR 250/pax tier) + Tankering from 1% VAT UDAN spokes + 40% Crack-Spread Collar</t>
  </si>
  <si>
    <t>Scenario 2: UDAN VGF Receivables Delay &amp; Sunset</t>
  </si>
  <si>
    <t>180-day working-capital delay in State 20% VGF reimbursement + Year-3 VGF subsidy cliff on R4-R6</t>
  </si>
  <si>
    <t>Escrow State BG Receivables Facility + Pre-negotiated 25% Commercial Seat Mix Shift as ATR 72-600 route matures</t>
  </si>
  <si>
    <t>Scenario 3: ATR 72-600 Wet-to-Dry Lease Delay</t>
  </si>
  <si>
    <t>6-month OEM/lessor delivery delay on 4 ATR 72-600 turboprops due to Pratt &amp; Whitney supply chain bottlenecks</t>
  </si>
  <si>
    <t>Interim Damp-Lease Bridge from regional lessor + Immediate Frequency Cap (1x daily) on R4-R6 until turboprop induction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</si>
</sst>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"/>
    <numFmt numFmtId="165" formatCode="0.0%"/>
    <numFmt numFmtId="166" formatCode="+#,##0.0;(#,##0.0);0.0"/>
    <numFmt numFmtId="167" formatCode="+0.0%;-0.0%;0.0%"/>
    <numFmt numFmtId="168" formatCode="INR #,##0"/>
  </numFmts>
  <fonts count="10">
    <font>
      <sz val="11.0"/>
      <color theme="1"/>
      <name val="Calibri"/>
      <scheme val="minor"/>
    </font>
    <font>
      <b/>
      <sz val="16.0"/>
      <color rgb="FF0F2537"/>
      <name val="Calibri"/>
    </font>
    <font>
      <i/>
      <sz val="10.0"/>
      <color rgb="FF4A5568"/>
      <name val="Calibri"/>
    </font>
    <font>
      <b/>
      <sz val="11.0"/>
      <color rgb="FF0F2537"/>
      <name val="Calibri"/>
    </font>
    <font>
      <b/>
      <sz val="10.0"/>
      <color rgb="FFFFFFFF"/>
      <name val="Calibri"/>
    </font>
    <font>
      <b/>
      <sz val="10.0"/>
      <color rgb="FF1A202C"/>
      <name val="Calibri"/>
    </font>
    <font>
      <sz val="10.0"/>
      <color rgb="FF1A202C"/>
      <name val="Calibri"/>
    </font>
    <font>
      <u/>
      <sz val="9.0"/>
      <color rgb="FF0563C1"/>
      <name val="Calibri"/>
    </font>
    <font>
      <u/>
      <sz val="9.0"/>
      <color rgb="FF0563C1"/>
      <name val="Calibri"/>
    </font>
    <font>
      <b/>
      <sz val="10.0"/>
      <color rgb="FF0F2537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0F2537"/>
        <bgColor rgb="FF0F2537"/>
      </patternFill>
    </fill>
    <fill>
      <patternFill patternType="solid">
        <fgColor rgb="FFF7FAFC"/>
        <bgColor rgb="FFF7FAFC"/>
      </patternFill>
    </fill>
    <fill>
      <patternFill patternType="solid">
        <fgColor rgb="FFFED7D7"/>
        <bgColor rgb="FFFED7D7"/>
      </patternFill>
    </fill>
    <fill>
      <patternFill patternType="solid">
        <fgColor rgb="FFC6F6D5"/>
        <bgColor rgb="FFC6F6D5"/>
      </patternFill>
    </fill>
    <fill>
      <patternFill patternType="solid">
        <fgColor rgb="FFFEFCBF"/>
        <bgColor rgb="FFFEFCBF"/>
      </patternFill>
    </fill>
    <fill>
      <patternFill patternType="solid">
        <fgColor rgb="FFE2E8F0"/>
        <bgColor rgb="FFE2E8F0"/>
      </patternFill>
    </fill>
    <fill>
      <patternFill patternType="solid">
        <fgColor rgb="FFD9E2EC"/>
        <bgColor rgb="FFD9E2EC"/>
      </patternFill>
    </fill>
  </fills>
  <borders count="4">
    <border/>
    <border>
      <left style="thin">
        <color rgb="FFCBD5E0"/>
      </left>
      <right style="thin">
        <color rgb="FFCBD5E0"/>
      </right>
      <top style="medium">
        <color rgb="FF0F2537"/>
      </top>
      <bottom style="medium">
        <color rgb="FF0F2537"/>
      </bottom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</border>
    <border>
      <left style="thin">
        <color rgb="FFCBD5E0"/>
      </left>
      <right style="thin">
        <color rgb="FFCBD5E0"/>
      </right>
      <top style="thin">
        <color rgb="FFCBD5E0"/>
      </top>
      <bottom style="double">
        <color rgb="FF0F2537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left" shrinkToFit="0" vertical="center" wrapText="1"/>
    </xf>
    <xf borderId="2" fillId="0" fontId="6" numFmtId="3" xfId="0" applyAlignment="1" applyBorder="1" applyFont="1" applyNumberFormat="1">
      <alignment horizontal="right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left" shrinkToFit="0" vertical="center" wrapText="1"/>
    </xf>
    <xf borderId="2" fillId="3" fontId="5" numFmtId="0" xfId="0" applyAlignment="1" applyBorder="1" applyFill="1" applyFont="1">
      <alignment horizontal="center" shrinkToFit="0" vertical="center" wrapText="1"/>
    </xf>
    <xf borderId="2" fillId="3" fontId="6" numFmtId="0" xfId="0" applyAlignment="1" applyBorder="1" applyFill="1" applyFont="1">
      <alignment horizontal="left" shrinkToFit="0" vertical="center" wrapText="1"/>
    </xf>
    <xf borderId="2" fillId="3" fontId="6" numFmtId="2" xfId="0" applyAlignment="1" applyBorder="1" applyFill="1" applyFont="1" applyNumberFormat="1">
      <alignment horizontal="right" shrinkToFit="0" vertical="center" wrapText="1"/>
    </xf>
    <xf borderId="2" fillId="3" fontId="6" numFmtId="0" xfId="0" applyAlignment="1" applyBorder="1" applyFill="1" applyFont="1">
      <alignment horizontal="center" shrinkToFit="0" vertical="center" wrapText="1"/>
    </xf>
    <xf borderId="2" fillId="3" fontId="8" numFmtId="0" xfId="0" applyAlignment="1" applyBorder="1" applyFill="1" applyFont="1">
      <alignment horizontal="left" shrinkToFit="0" vertical="center" wrapText="1"/>
    </xf>
    <xf borderId="2" fillId="3" fontId="6" numFmtId="3" xfId="0" applyAlignment="1" applyBorder="1" applyFill="1" applyFont="1" applyNumberFormat="1">
      <alignment horizontal="right" shrinkToFit="0" vertical="center" wrapText="1"/>
    </xf>
    <xf borderId="2" fillId="0" fontId="6" numFmtId="2" xfId="0" applyAlignment="1" applyBorder="1" applyFont="1" applyNumberFormat="1">
      <alignment horizontal="right" shrinkToFit="0" vertical="center" wrapText="1"/>
    </xf>
    <xf borderId="2" fillId="0" fontId="6" numFmtId="164" xfId="0" applyAlignment="1" applyBorder="1" applyFont="1" applyNumberFormat="1">
      <alignment horizontal="right" shrinkToFit="0" vertical="center" wrapText="1"/>
    </xf>
    <xf borderId="2" fillId="0" fontId="6" numFmtId="165" xfId="0" applyAlignment="1" applyBorder="1" applyFont="1" applyNumberFormat="1">
      <alignment horizontal="right" shrinkToFit="0" vertical="center" wrapText="1"/>
    </xf>
    <xf borderId="2" fillId="0" fontId="6" numFmtId="166" xfId="0" applyAlignment="1" applyBorder="1" applyFont="1" applyNumberFormat="1">
      <alignment horizontal="right" shrinkToFit="0" vertical="center" wrapText="1"/>
    </xf>
    <xf borderId="2" fillId="4" fontId="5" numFmtId="0" xfId="0" applyAlignment="1" applyBorder="1" applyFill="1" applyFont="1">
      <alignment horizontal="left" shrinkToFit="0" vertical="center" wrapText="1"/>
    </xf>
    <xf borderId="2" fillId="4" fontId="5" numFmtId="0" xfId="0" applyAlignment="1" applyBorder="1" applyFill="1" applyFont="1">
      <alignment horizontal="center" shrinkToFit="0" vertical="center" wrapText="1"/>
    </xf>
    <xf borderId="2" fillId="4" fontId="5" numFmtId="164" xfId="0" applyAlignment="1" applyBorder="1" applyFill="1" applyFont="1" applyNumberFormat="1">
      <alignment horizontal="right" shrinkToFit="0" vertical="center" wrapText="1"/>
    </xf>
    <xf borderId="2" fillId="4" fontId="5" numFmtId="165" xfId="0" applyAlignment="1" applyBorder="1" applyFill="1" applyFont="1" applyNumberFormat="1">
      <alignment horizontal="right" shrinkToFit="0" vertical="center" wrapText="1"/>
    </xf>
    <xf borderId="2" fillId="4" fontId="5" numFmtId="2" xfId="0" applyAlignment="1" applyBorder="1" applyFill="1" applyFont="1" applyNumberFormat="1">
      <alignment horizontal="right" shrinkToFit="0" vertical="center" wrapText="1"/>
    </xf>
    <xf borderId="2" fillId="4" fontId="5" numFmtId="166" xfId="0" applyAlignment="1" applyBorder="1" applyFill="1" applyFont="1" applyNumberFormat="1">
      <alignment horizontal="right" shrinkToFit="0" vertical="center" wrapText="1"/>
    </xf>
    <xf borderId="2" fillId="3" fontId="6" numFmtId="164" xfId="0" applyAlignment="1" applyBorder="1" applyFill="1" applyFont="1" applyNumberFormat="1">
      <alignment horizontal="right" shrinkToFit="0" vertical="center" wrapText="1"/>
    </xf>
    <xf borderId="2" fillId="3" fontId="6" numFmtId="165" xfId="0" applyAlignment="1" applyBorder="1" applyFill="1" applyFont="1" applyNumberFormat="1">
      <alignment horizontal="right" shrinkToFit="0" vertical="center" wrapText="1"/>
    </xf>
    <xf borderId="2" fillId="3" fontId="6" numFmtId="166" xfId="0" applyAlignment="1" applyBorder="1" applyFill="1" applyFont="1" applyNumberFormat="1">
      <alignment horizontal="right" shrinkToFit="0" vertical="center" wrapText="1"/>
    </xf>
    <xf borderId="3" fillId="5" fontId="9" numFmtId="0" xfId="0" applyAlignment="1" applyBorder="1" applyFill="1" applyFont="1">
      <alignment horizontal="left" shrinkToFit="0" vertical="center" wrapText="1"/>
    </xf>
    <xf borderId="3" fillId="5" fontId="9" numFmtId="0" xfId="0" applyAlignment="1" applyBorder="1" applyFill="1" applyFont="1">
      <alignment horizontal="center" shrinkToFit="0" vertical="center" wrapText="1"/>
    </xf>
    <xf borderId="3" fillId="5" fontId="9" numFmtId="164" xfId="0" applyAlignment="1" applyBorder="1" applyFill="1" applyFont="1" applyNumberFormat="1">
      <alignment horizontal="right" shrinkToFit="0" vertical="center" wrapText="1"/>
    </xf>
    <xf borderId="3" fillId="5" fontId="9" numFmtId="165" xfId="0" applyAlignment="1" applyBorder="1" applyFill="1" applyFont="1" applyNumberFormat="1">
      <alignment horizontal="right" shrinkToFit="0" vertical="center" wrapText="1"/>
    </xf>
    <xf borderId="3" fillId="5" fontId="9" numFmtId="2" xfId="0" applyAlignment="1" applyBorder="1" applyFill="1" applyFont="1" applyNumberFormat="1">
      <alignment horizontal="right" shrinkToFit="0" vertical="center" wrapText="1"/>
    </xf>
    <xf borderId="3" fillId="5" fontId="9" numFmtId="166" xfId="0" applyAlignment="1" applyBorder="1" applyFill="1" applyFont="1" applyNumberFormat="1">
      <alignment horizontal="right" shrinkToFit="0" vertical="center" wrapText="1"/>
    </xf>
    <xf borderId="2" fillId="6" fontId="6" numFmtId="0" xfId="0" applyAlignment="1" applyBorder="1" applyFill="1" applyFont="1">
      <alignment horizontal="center" shrinkToFit="0" vertical="center" wrapText="1"/>
    </xf>
    <xf borderId="2" fillId="6" fontId="6" numFmtId="0" xfId="0" applyAlignment="1" applyBorder="1" applyFill="1" applyFont="1">
      <alignment horizontal="left" shrinkToFit="0" vertical="center" wrapText="1"/>
    </xf>
    <xf borderId="2" fillId="6" fontId="6" numFmtId="3" xfId="0" applyAlignment="1" applyBorder="1" applyFill="1" applyFont="1" applyNumberFormat="1">
      <alignment horizontal="right" shrinkToFit="0" vertical="center" wrapText="1"/>
    </xf>
    <xf borderId="2" fillId="6" fontId="6" numFmtId="165" xfId="0" applyAlignment="1" applyBorder="1" applyFill="1" applyFont="1" applyNumberFormat="1">
      <alignment horizontal="right" shrinkToFit="0" vertical="center" wrapText="1"/>
    </xf>
    <xf borderId="2" fillId="6" fontId="6" numFmtId="164" xfId="0" applyAlignment="1" applyBorder="1" applyFill="1" applyFont="1" applyNumberFormat="1">
      <alignment horizontal="right" shrinkToFit="0" vertical="center" wrapText="1"/>
    </xf>
    <xf borderId="2" fillId="6" fontId="6" numFmtId="2" xfId="0" applyAlignment="1" applyBorder="1" applyFill="1" applyFont="1" applyNumberFormat="1">
      <alignment horizontal="right" shrinkToFit="0" vertical="center" wrapText="1"/>
    </xf>
    <xf borderId="2" fillId="6" fontId="6" numFmtId="166" xfId="0" applyAlignment="1" applyBorder="1" applyFill="1" applyFont="1" applyNumberFormat="1">
      <alignment horizontal="right" shrinkToFit="0" vertical="center" wrapText="1"/>
    </xf>
    <xf borderId="2" fillId="4" fontId="6" numFmtId="0" xfId="0" applyAlignment="1" applyBorder="1" applyFill="1" applyFont="1">
      <alignment horizontal="center" shrinkToFit="0" vertical="center" wrapText="1"/>
    </xf>
    <xf borderId="2" fillId="4" fontId="6" numFmtId="0" xfId="0" applyAlignment="1" applyBorder="1" applyFill="1" applyFont="1">
      <alignment horizontal="left" shrinkToFit="0" vertical="center" wrapText="1"/>
    </xf>
    <xf borderId="2" fillId="4" fontId="6" numFmtId="3" xfId="0" applyAlignment="1" applyBorder="1" applyFill="1" applyFont="1" applyNumberFormat="1">
      <alignment horizontal="right" shrinkToFit="0" vertical="center" wrapText="1"/>
    </xf>
    <xf borderId="2" fillId="4" fontId="6" numFmtId="165" xfId="0" applyAlignment="1" applyBorder="1" applyFill="1" applyFont="1" applyNumberFormat="1">
      <alignment horizontal="right" shrinkToFit="0" vertical="center" wrapText="1"/>
    </xf>
    <xf borderId="2" fillId="4" fontId="6" numFmtId="164" xfId="0" applyAlignment="1" applyBorder="1" applyFill="1" applyFont="1" applyNumberFormat="1">
      <alignment horizontal="right" shrinkToFit="0" vertical="center" wrapText="1"/>
    </xf>
    <xf borderId="2" fillId="4" fontId="6" numFmtId="2" xfId="0" applyAlignment="1" applyBorder="1" applyFill="1" applyFont="1" applyNumberFormat="1">
      <alignment horizontal="right" shrinkToFit="0" vertical="center" wrapText="1"/>
    </xf>
    <xf borderId="2" fillId="4" fontId="6" numFmtId="166" xfId="0" applyAlignment="1" applyBorder="1" applyFill="1" applyFont="1" applyNumberFormat="1">
      <alignment horizontal="right" shrinkToFit="0" vertical="center" wrapText="1"/>
    </xf>
    <xf borderId="3" fillId="7" fontId="9" numFmtId="0" xfId="0" applyAlignment="1" applyBorder="1" applyFill="1" applyFont="1">
      <alignment horizontal="center" shrinkToFit="0" vertical="center" wrapText="1"/>
    </xf>
    <xf borderId="3" fillId="7" fontId="9" numFmtId="0" xfId="0" applyAlignment="1" applyBorder="1" applyFill="1" applyFont="1">
      <alignment horizontal="left" shrinkToFit="0" vertical="center" wrapText="1"/>
    </xf>
    <xf borderId="3" fillId="7" fontId="9" numFmtId="3" xfId="0" applyAlignment="1" applyBorder="1" applyFill="1" applyFont="1" applyNumberFormat="1">
      <alignment horizontal="right" shrinkToFit="0" vertical="center" wrapText="1"/>
    </xf>
    <xf borderId="3" fillId="7" fontId="9" numFmtId="165" xfId="0" applyAlignment="1" applyBorder="1" applyFill="1" applyFont="1" applyNumberFormat="1">
      <alignment horizontal="right" shrinkToFit="0" vertical="center" wrapText="1"/>
    </xf>
    <xf borderId="3" fillId="7" fontId="9" numFmtId="164" xfId="0" applyAlignment="1" applyBorder="1" applyFill="1" applyFont="1" applyNumberFormat="1">
      <alignment horizontal="right" shrinkToFit="0" vertical="center" wrapText="1"/>
    </xf>
    <xf borderId="3" fillId="7" fontId="9" numFmtId="2" xfId="0" applyAlignment="1" applyBorder="1" applyFill="1" applyFont="1" applyNumberFormat="1">
      <alignment horizontal="right" shrinkToFit="0" vertical="center" wrapText="1"/>
    </xf>
    <xf borderId="3" fillId="7" fontId="9" numFmtId="166" xfId="0" applyAlignment="1" applyBorder="1" applyFill="1" applyFont="1" applyNumberFormat="1">
      <alignment horizontal="right" shrinkToFit="0" vertical="center" wrapText="1"/>
    </xf>
    <xf borderId="1" fillId="2" fontId="4" numFmtId="167" xfId="0" applyAlignment="1" applyBorder="1" applyFill="1" applyFont="1" applyNumberFormat="1">
      <alignment horizontal="center" shrinkToFit="0" vertical="center" wrapText="1"/>
    </xf>
    <xf borderId="2" fillId="8" fontId="5" numFmtId="168" xfId="0" applyAlignment="1" applyBorder="1" applyFill="1" applyFont="1" applyNumberFormat="1">
      <alignment horizontal="center" shrinkToFit="0" vertical="center" wrapText="1"/>
    </xf>
    <xf borderId="2" fillId="5" fontId="5" numFmtId="166" xfId="0" applyAlignment="1" applyBorder="1" applyFill="1" applyFont="1" applyNumberFormat="1">
      <alignment horizontal="right" shrinkToFit="0" vertical="center" wrapText="1"/>
    </xf>
    <xf borderId="2" fillId="3" fontId="5" numFmtId="0" xfId="0" applyAlignment="1" applyBorder="1" applyFill="1" applyFont="1">
      <alignment horizontal="left" shrinkToFit="0" vertical="center" wrapText="1"/>
    </xf>
    <xf borderId="2" fillId="0" fontId="5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9.0"/>
    <col customWidth="1" min="2" max="2" width="56.0"/>
    <col customWidth="1" min="3" max="3" width="25.0"/>
    <col customWidth="1" min="4" max="4" width="23.0"/>
    <col customWidth="1" min="5" max="5" width="22.0"/>
    <col customWidth="1" min="6" max="6" width="42.0"/>
    <col customWidth="1" min="7" max="7" width="22.0"/>
    <col customWidth="1" min="8" max="8" width="27.0"/>
    <col customWidth="1" min="9" max="9" width="28.0"/>
  </cols>
  <sheetData>
    <row r="1" ht="27.75" customHeight="1">
      <c r="A1" s="1" t="s">
        <v>0</v>
      </c>
    </row>
    <row r="2" ht="19.5" customHeight="1">
      <c r="A2" s="2" t="s">
        <v>1</v>
      </c>
    </row>
    <row r="3" ht="21.75" customHeight="1"/>
    <row r="4" ht="21.75" customHeight="1">
      <c r="A4" s="3" t="s">
        <v>2</v>
      </c>
    </row>
    <row r="5" ht="27.75" customHeight="1">
      <c r="A5" s="4" t="s">
        <v>3</v>
      </c>
      <c r="B5" s="5" t="s">
        <v>4</v>
      </c>
      <c r="C5" s="4" t="s">
        <v>5</v>
      </c>
      <c r="D5" s="4" t="s">
        <v>6</v>
      </c>
      <c r="E5" s="4" t="s">
        <v>7</v>
      </c>
      <c r="F5" s="5" t="s">
        <v>8</v>
      </c>
    </row>
    <row r="6" ht="21.75" customHeight="1">
      <c r="A6" s="6" t="s">
        <v>9</v>
      </c>
      <c r="B6" s="7" t="s">
        <v>10</v>
      </c>
      <c r="C6" s="8">
        <v>86000.0</v>
      </c>
      <c r="D6" s="8">
        <v>104927.0</v>
      </c>
      <c r="E6" s="9" t="s">
        <v>11</v>
      </c>
      <c r="F6" s="10" t="str">
        <f>HYPERLINK("https://iocl.com/aviation-fuel", "IOCL Aviation Fuel Archive (Delhi Metro Peak INR 1,04,927/kl)")</f>
        <v>IOCL Aviation Fuel Archive (Delhi Metro Peak INR 1,04,927/kl)</v>
      </c>
    </row>
    <row r="7" ht="21.75" customHeight="1">
      <c r="A7" s="11" t="s">
        <v>12</v>
      </c>
      <c r="B7" s="12" t="s">
        <v>13</v>
      </c>
      <c r="C7" s="13">
        <f t="shared" ref="C7:D7" si="1">C6/1000</f>
        <v>86</v>
      </c>
      <c r="D7" s="13">
        <f t="shared" si="1"/>
        <v>104.927</v>
      </c>
      <c r="E7" s="14" t="s">
        <v>14</v>
      </c>
      <c r="F7" s="15" t="str">
        <f>HYPERLINK("https://iocl.com/prices-of-petroleum-products", "IOCL Domestic Aviation Turbine Fuel Price Table")</f>
        <v>IOCL Domestic Aviation Turbine Fuel Price Table</v>
      </c>
    </row>
    <row r="8" ht="21.75" customHeight="1">
      <c r="A8" s="6" t="s">
        <v>15</v>
      </c>
      <c r="B8" s="7" t="s">
        <v>16</v>
      </c>
      <c r="C8" s="8">
        <v>73100.0</v>
      </c>
      <c r="D8" s="8">
        <v>89188.0</v>
      </c>
      <c r="E8" s="9" t="s">
        <v>11</v>
      </c>
      <c r="F8" s="10" t="str">
        <f>HYPERLINK("https://www.civilaviation.gov.in/sites/default/files/2025-09/modified-udan-scheme-v1.2-workshop-1.pdf", "MoCA Modified UDAN Scheme v1.2 (1-2% VAT Concession)")</f>
        <v>MoCA Modified UDAN Scheme v1.2 (1-2% VAT Concession)</v>
      </c>
    </row>
    <row r="9" ht="21.75" customHeight="1">
      <c r="A9" s="11" t="s">
        <v>17</v>
      </c>
      <c r="B9" s="12" t="s">
        <v>18</v>
      </c>
      <c r="C9" s="16">
        <v>180.0</v>
      </c>
      <c r="D9" s="16">
        <v>180.0</v>
      </c>
      <c r="E9" s="14" t="s">
        <v>19</v>
      </c>
      <c r="F9" s="15" t="str">
        <f>HYPERLINK("https://www.goindigo.in/press-releases/indigo-releases-q1-financial-results-of-fy-2025.html", "IndiGo / SpiceJet Narrow-Body Fleet Benchmark")</f>
        <v>IndiGo / SpiceJet Narrow-Body Fleet Benchmark</v>
      </c>
    </row>
    <row r="10" ht="21.75" customHeight="1">
      <c r="A10" s="6" t="s">
        <v>20</v>
      </c>
      <c r="B10" s="7" t="s">
        <v>21</v>
      </c>
      <c r="C10" s="8">
        <v>78.0</v>
      </c>
      <c r="D10" s="8">
        <v>78.0</v>
      </c>
      <c r="E10" s="9" t="s">
        <v>19</v>
      </c>
      <c r="F10" s="10" t="str">
        <f>HYPERLINK("https://nsearchives.nseindia.com/annual_reports/AR_27116_INDIGO_2024_2025_A_26072025103933.pdf", "IndiGo Regional ATR 72-600 Fleet Config (78 Seats)")</f>
        <v>IndiGo Regional ATR 72-600 Fleet Config (78 Seats)</v>
      </c>
    </row>
    <row r="11" ht="21.75" customHeight="1">
      <c r="A11" s="11" t="s">
        <v>22</v>
      </c>
      <c r="B11" s="12" t="s">
        <v>23</v>
      </c>
      <c r="C11" s="13">
        <v>4.62</v>
      </c>
      <c r="D11" s="13">
        <v>4.83</v>
      </c>
      <c r="E11" s="14" t="s">
        <v>24</v>
      </c>
      <c r="F11" s="15" t="str">
        <f>HYPERLINK("https://www.plindia.com/ResReport/INDIGO-22-5-25-PL.pdf", "IndiGo Q1/Q3 FY25 Results (Fuel CASK INR 1.76, Ex-Fuel 2.86)")</f>
        <v>IndiGo Q1/Q3 FY25 Results (Fuel CASK INR 1.76, Ex-Fuel 2.86)</v>
      </c>
    </row>
    <row r="12" ht="21.75" customHeight="1">
      <c r="A12" s="6" t="s">
        <v>25</v>
      </c>
      <c r="B12" s="7" t="s">
        <v>26</v>
      </c>
      <c r="C12" s="17">
        <v>5.85</v>
      </c>
      <c r="D12" s="17">
        <v>6.5</v>
      </c>
      <c r="E12" s="9" t="s">
        <v>24</v>
      </c>
      <c r="F12" s="10" t="str">
        <f>HYPERLINK("https://indianexpress.com/article/smart-stocks/less-than-4-market-share-40-fleet-grounded-spicejet-avoid-crash-9902137/", "SpiceJet Q3 FY25 Analysis (Fuel INR 1.88, Ex-Fuel INR 4.62)")</f>
        <v>SpiceJet Q3 FY25 Analysis (Fuel INR 1.88, Ex-Fuel INR 4.62)</v>
      </c>
    </row>
    <row r="13" ht="21.75" customHeight="1">
      <c r="A13" s="11" t="s">
        <v>27</v>
      </c>
      <c r="B13" s="12" t="s">
        <v>28</v>
      </c>
      <c r="C13" s="13">
        <v>5.1</v>
      </c>
      <c r="D13" s="13">
        <v>5.24</v>
      </c>
      <c r="E13" s="14" t="s">
        <v>29</v>
      </c>
      <c r="F13" s="15" t="str">
        <f>HYPERLINK("https://www.goindigo.in/press-releases/indigo-releases-q1-financial-results-of-fy-2025.html", "IndiGo Q1 FY25 RASK INR 5.40, Passenger Yield INR 5.24/RPK")</f>
        <v>IndiGo Q1 FY25 RASK INR 5.40, Passenger Yield INR 5.24/RPK</v>
      </c>
    </row>
    <row r="14" ht="21.75" customHeight="1">
      <c r="A14" s="6" t="s">
        <v>30</v>
      </c>
      <c r="B14" s="7" t="s">
        <v>31</v>
      </c>
      <c r="C14" s="8">
        <v>4150.0</v>
      </c>
      <c r="D14" s="8">
        <v>4450.0</v>
      </c>
      <c r="E14" s="9" t="s">
        <v>32</v>
      </c>
      <c r="F14" s="10" t="str">
        <f>HYPERLINK("https://www.pib.gov.in/PressReleaseDetail.aspx?PRID=2125359&amp;reg=3&amp;lang=1", "PIB / MoCA UDAN 10-Year Disbursement (INR 4,091 Cr on 657 routes)")</f>
        <v>PIB / MoCA UDAN 10-Year Disbursement (INR 4,091 Cr on 657 routes)</v>
      </c>
    </row>
    <row r="15" ht="21.75" customHeight="1">
      <c r="A15" s="11" t="s">
        <v>33</v>
      </c>
      <c r="B15" s="12" t="s">
        <v>34</v>
      </c>
      <c r="C15" s="16">
        <v>2650.0</v>
      </c>
      <c r="D15" s="16">
        <v>2750.0</v>
      </c>
      <c r="E15" s="14" t="s">
        <v>35</v>
      </c>
      <c r="F15" s="15" t="str">
        <f>HYPERLINK("https://anantamias.com/udaan/", "MoCA Regional Connectivity Scheme Airfare Cap Schedule")</f>
        <v>MoCA Regional Connectivity Scheme Airfare Cap Schedule</v>
      </c>
    </row>
    <row r="16" ht="21.75" customHeight="1"/>
    <row r="17" ht="21.75" customHeight="1"/>
    <row r="18" ht="21.75" customHeight="1">
      <c r="A18" s="3" t="s">
        <v>36</v>
      </c>
    </row>
    <row r="19" ht="27.75" customHeight="1">
      <c r="A19" s="5" t="s">
        <v>37</v>
      </c>
      <c r="B19" s="4" t="s">
        <v>38</v>
      </c>
      <c r="C19" s="4" t="s">
        <v>39</v>
      </c>
      <c r="D19" s="4" t="s">
        <v>40</v>
      </c>
      <c r="E19" s="4" t="s">
        <v>41</v>
      </c>
      <c r="F19" s="4" t="s">
        <v>42</v>
      </c>
      <c r="G19" s="4" t="s">
        <v>43</v>
      </c>
      <c r="H19" s="4" t="s">
        <v>44</v>
      </c>
      <c r="I19" s="4" t="s">
        <v>45</v>
      </c>
    </row>
    <row r="20" ht="21.75" customHeight="1">
      <c r="A20" s="7" t="s">
        <v>46</v>
      </c>
      <c r="B20" s="9">
        <v>8.0</v>
      </c>
      <c r="C20" s="18">
        <f>'2_Route_PnL_and_BLF'!I13</f>
        <v>852.786</v>
      </c>
      <c r="D20" s="19">
        <f>'2_Route_PnL_and_BLF'!G13</f>
        <v>0.7224961479</v>
      </c>
      <c r="E20" s="17">
        <f>'2_Route_PnL_and_BLF'!M13</f>
        <v>4.402189522</v>
      </c>
      <c r="F20" s="17">
        <f>'2_Route_PnL_and_BLF'!P13</f>
        <v>5.048613251</v>
      </c>
      <c r="G20" s="19">
        <f>'2_Route_PnL_and_BLF'!V13</f>
        <v>0.828588503</v>
      </c>
      <c r="H20" s="20">
        <f>'2_Route_PnL_and_BLF'!T13</f>
        <v>-55.1261106</v>
      </c>
      <c r="I20" s="19">
        <f>H20/('2_Route_PnL_and_BLF'!N13)</f>
        <v>-0.1468414128</v>
      </c>
    </row>
    <row r="21" ht="21.75" customHeight="1">
      <c r="A21" s="21" t="s">
        <v>47</v>
      </c>
      <c r="B21" s="22">
        <v>8.0</v>
      </c>
      <c r="C21" s="23">
        <f>'2_Route_PnL_and_BLF'!I13</f>
        <v>852.786</v>
      </c>
      <c r="D21" s="24">
        <f>'2_Route_PnL_and_BLF'!G13</f>
        <v>0.7224961479</v>
      </c>
      <c r="E21" s="25">
        <f>'2_Route_PnL_and_BLF'!M13</f>
        <v>4.402189522</v>
      </c>
      <c r="F21" s="25">
        <f>'2_Route_PnL_and_BLF'!R13</f>
        <v>5.412734359</v>
      </c>
      <c r="G21" s="24">
        <f>'2_Route_PnL_and_BLF'!W13</f>
        <v>0.8883487874</v>
      </c>
      <c r="H21" s="26">
        <f>'2_Route_PnL_and_BLF'!U13</f>
        <v>-86.17784892</v>
      </c>
      <c r="I21" s="24">
        <f>H21/('2_Route_PnL_and_BLF'!N13)</f>
        <v>-0.2295550502</v>
      </c>
    </row>
    <row r="22" ht="21.75" customHeight="1">
      <c r="A22" s="7" t="s">
        <v>48</v>
      </c>
      <c r="B22" s="9">
        <v>6.0</v>
      </c>
      <c r="C22" s="18">
        <f>'3_Strategic_Options_ABC'!E14</f>
        <v>602.1405</v>
      </c>
      <c r="D22" s="19">
        <f>'3_Strategic_Options_ABC'!F14</f>
        <v>0.7816486634</v>
      </c>
      <c r="E22" s="17">
        <f>'3_Strategic_Options_ABC'!G14</f>
        <v>4.993444849</v>
      </c>
      <c r="F22" s="17">
        <f>'3_Strategic_Options_ABC'!H14</f>
        <v>4.974027623</v>
      </c>
      <c r="G22" s="19">
        <f>'3_Strategic_Options_ABC'!I14</f>
        <v>0.7786091888</v>
      </c>
      <c r="H22" s="20">
        <f>'3_Strategic_Options_ABC'!J14</f>
        <v>-3.330810165</v>
      </c>
      <c r="I22" s="19">
        <f>H22/('3_Strategic_Options_ABC'!E14*'3_Strategic_Options_ABC'!G14/10)</f>
        <v>-0.01107775574</v>
      </c>
    </row>
    <row r="23" ht="21.75" customHeight="1">
      <c r="A23" s="12" t="s">
        <v>49</v>
      </c>
      <c r="B23" s="14">
        <v>8.0</v>
      </c>
      <c r="C23" s="27">
        <f>'3_Strategic_Options_ABC'!E26</f>
        <v>852.786</v>
      </c>
      <c r="D23" s="28">
        <f>'3_Strategic_Options_ABC'!F26</f>
        <v>0.7878582435</v>
      </c>
      <c r="E23" s="13">
        <f>'3_Strategic_Options_ABC'!G26</f>
        <v>4.863365177</v>
      </c>
      <c r="F23" s="13">
        <f>'3_Strategic_Options_ABC'!H26</f>
        <v>5.064265645</v>
      </c>
      <c r="G23" s="28">
        <f>'3_Strategic_Options_ABC'!I26</f>
        <v>0.8204038335</v>
      </c>
      <c r="H23" s="29">
        <f>'3_Strategic_Options_ABC'!J26</f>
        <v>-17.13251059</v>
      </c>
      <c r="I23" s="28">
        <f>H23/('3_Strategic_Options_ABC'!E26*'3_Strategic_Options_ABC'!G26/10)</f>
        <v>-0.04130894145</v>
      </c>
    </row>
    <row r="24" ht="21.75" customHeight="1">
      <c r="A24" s="7" t="s">
        <v>50</v>
      </c>
      <c r="B24" s="9">
        <v>8.0</v>
      </c>
      <c r="C24" s="18">
        <f>'3_Strategic_Options_ABC'!E38</f>
        <v>683.55594</v>
      </c>
      <c r="D24" s="19">
        <f>'3_Strategic_Options_ABC'!F38</f>
        <v>0.8206432018</v>
      </c>
      <c r="E24" s="17">
        <f>'3_Strategic_Options_ABC'!G38</f>
        <v>4.984618712</v>
      </c>
      <c r="F24" s="17">
        <f>'3_Strategic_Options_ABC'!H38</f>
        <v>4.734628629</v>
      </c>
      <c r="G24" s="19">
        <f>'3_Strategic_Options_ABC'!I38</f>
        <v>0.7794860594</v>
      </c>
      <c r="H24" s="20">
        <f>'3_Strategic_Options_ABC'!J38</f>
        <v>17.08822061</v>
      </c>
      <c r="I24" s="19">
        <f>H24/('3_Strategic_Options_ABC'!E38*'3_Strategic_Options_ABC'!G38/10)</f>
        <v>0.05015229798</v>
      </c>
    </row>
    <row r="25" ht="21.75" customHeight="1">
      <c r="A25" s="30" t="s">
        <v>51</v>
      </c>
      <c r="B25" s="31">
        <v>6.0</v>
      </c>
      <c r="C25" s="32">
        <f>'3_Strategic_Options_ABC'!E50</f>
        <v>708.9687</v>
      </c>
      <c r="D25" s="33">
        <f>'3_Strategic_Options_ABC'!F50</f>
        <v>0.8290992494</v>
      </c>
      <c r="E25" s="34">
        <f>'3_Strategic_Options_ABC'!G50</f>
        <v>5.274580669</v>
      </c>
      <c r="F25" s="34">
        <f>'3_Strategic_Options_ABC'!H50</f>
        <v>4.548501529</v>
      </c>
      <c r="G25" s="33">
        <f>'3_Strategic_Options_ABC'!I50</f>
        <v>0.7149685331</v>
      </c>
      <c r="H25" s="35">
        <f>'3_Strategic_Options_ABC'!J50</f>
        <v>51.4767384</v>
      </c>
      <c r="I25" s="33">
        <f>H25/('3_Strategic_Options_ABC'!E50*'3_Strategic_Options_ABC'!G50/10)</f>
        <v>0.1376562775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1.0" footer="0.0" header="0.0" left="0.75" right="0.75" top="1.0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6.0"/>
    <col customWidth="1" min="3" max="3" width="25.0"/>
    <col customWidth="1" min="4" max="4" width="14.0"/>
    <col customWidth="1" min="5" max="5" width="17.0"/>
    <col customWidth="1" min="6" max="6" width="18.0"/>
    <col customWidth="1" min="7" max="7" width="17.0"/>
    <col customWidth="1" min="8" max="8" width="14.0"/>
    <col customWidth="1" min="9" max="10" width="18.0"/>
    <col customWidth="1" min="11" max="12" width="23.0"/>
    <col customWidth="1" min="13" max="13" width="20.0"/>
    <col customWidth="1" min="14" max="15" width="23.0"/>
    <col customWidth="1" min="16" max="16" width="24.0"/>
    <col customWidth="1" min="17" max="17" width="19.0"/>
    <col customWidth="1" min="18" max="18" width="20.0"/>
    <col customWidth="1" min="19" max="20" width="22.0"/>
    <col customWidth="1" min="21" max="21" width="23.0"/>
    <col customWidth="1" min="22" max="22" width="21.0"/>
    <col customWidth="1" min="23" max="23" width="22.0"/>
    <col customWidth="1" min="24" max="24" width="24.0"/>
    <col customWidth="1" min="25" max="25" width="25.0"/>
    <col customWidth="1" min="26" max="26" width="34.0"/>
  </cols>
  <sheetData>
    <row r="1" ht="27.75" customHeight="1">
      <c r="A1" s="1" t="s">
        <v>52</v>
      </c>
    </row>
    <row r="2" ht="19.5" customHeight="1">
      <c r="A2" s="2" t="s">
        <v>53</v>
      </c>
    </row>
    <row r="3" ht="21.75" customHeight="1"/>
    <row r="4" ht="27.75" customHeight="1">
      <c r="A4" s="4" t="s">
        <v>54</v>
      </c>
      <c r="B4" s="4" t="s">
        <v>55</v>
      </c>
      <c r="C4" s="4" t="s">
        <v>56</v>
      </c>
      <c r="D4" s="4" t="s">
        <v>57</v>
      </c>
      <c r="E4" s="4" t="s">
        <v>58</v>
      </c>
      <c r="F4" s="4" t="s">
        <v>59</v>
      </c>
      <c r="G4" s="4" t="s">
        <v>60</v>
      </c>
      <c r="H4" s="4" t="s">
        <v>61</v>
      </c>
      <c r="I4" s="4" t="s">
        <v>62</v>
      </c>
      <c r="J4" s="4" t="s">
        <v>63</v>
      </c>
      <c r="K4" s="4" t="s">
        <v>64</v>
      </c>
      <c r="L4" s="4" t="s">
        <v>65</v>
      </c>
      <c r="M4" s="4" t="s">
        <v>66</v>
      </c>
      <c r="N4" s="4" t="s">
        <v>67</v>
      </c>
      <c r="O4" s="4" t="s">
        <v>68</v>
      </c>
      <c r="P4" s="4" t="s">
        <v>69</v>
      </c>
      <c r="Q4" s="4" t="s">
        <v>70</v>
      </c>
      <c r="R4" s="4" t="s">
        <v>71</v>
      </c>
      <c r="S4" s="4" t="s">
        <v>72</v>
      </c>
      <c r="T4" s="4" t="s">
        <v>73</v>
      </c>
      <c r="U4" s="4" t="s">
        <v>74</v>
      </c>
      <c r="V4" s="4" t="s">
        <v>75</v>
      </c>
      <c r="W4" s="4" t="s">
        <v>76</v>
      </c>
      <c r="X4" s="4" t="s">
        <v>77</v>
      </c>
      <c r="Y4" s="4" t="s">
        <v>78</v>
      </c>
      <c r="Z4" s="4" t="s">
        <v>79</v>
      </c>
    </row>
    <row r="5" ht="21.75" customHeight="1">
      <c r="A5" s="14" t="s">
        <v>80</v>
      </c>
      <c r="B5" s="12" t="s">
        <v>81</v>
      </c>
      <c r="C5" s="12" t="s">
        <v>82</v>
      </c>
      <c r="D5" s="16">
        <v>510.0</v>
      </c>
      <c r="E5" s="16">
        <v>4.0</v>
      </c>
      <c r="F5" s="16">
        <v>180.0</v>
      </c>
      <c r="G5" s="28">
        <v>0.84</v>
      </c>
      <c r="H5" s="16">
        <f t="shared" ref="H5:H12" si="1">E5*365*F5*G5</f>
        <v>220752</v>
      </c>
      <c r="I5" s="27">
        <f t="shared" ref="I5:I12" si="2">E5*365*F5*D5/1000000</f>
        <v>134.028</v>
      </c>
      <c r="J5" s="27">
        <f t="shared" ref="J5:J12" si="3">I5*G5</f>
        <v>112.58352</v>
      </c>
      <c r="K5" s="13">
        <v>5.45</v>
      </c>
      <c r="L5" s="16">
        <v>420.0</v>
      </c>
      <c r="M5" s="13">
        <f t="shared" ref="M5:M12" si="4">((J5*K5)+(H5*L5/1000000))/I5</f>
        <v>5.269764706</v>
      </c>
      <c r="N5" s="27">
        <f t="shared" ref="N5:N12" si="5">I5*M5/10</f>
        <v>70.6296024</v>
      </c>
      <c r="O5" s="13">
        <v>1.58</v>
      </c>
      <c r="P5" s="13">
        <f t="shared" ref="P5:P12" si="6">O5+S5</f>
        <v>4.68</v>
      </c>
      <c r="Q5" s="13">
        <f>O5*('1_Exec_Summary_KPIs'!$D$6/'1_Exec_Summary_KPIs'!$C$6)</f>
        <v>1.927728605</v>
      </c>
      <c r="R5" s="13">
        <f t="shared" ref="R5:R12" si="7">Q5+S5</f>
        <v>5.027728605</v>
      </c>
      <c r="S5" s="13">
        <v>3.1</v>
      </c>
      <c r="T5" s="29">
        <f t="shared" ref="T5:T12" si="8">I5*(M5-P5)/10</f>
        <v>7.9044984</v>
      </c>
      <c r="U5" s="29">
        <f t="shared" ref="U5:U12" si="9">I5*(M5-R5)/10</f>
        <v>3.243961458</v>
      </c>
      <c r="V5" s="28">
        <f t="shared" ref="V5:V13" si="10">P5/(M5/G5)</f>
        <v>0.7459915612</v>
      </c>
      <c r="W5" s="28">
        <f t="shared" ref="W5:W13" si="11">R5/(M5/G5)</f>
        <v>0.8014194682</v>
      </c>
      <c r="X5" s="29">
        <f t="shared" ref="X5:X12" si="12">IF(T5&lt;0, T5, 0)</f>
        <v>0</v>
      </c>
      <c r="Y5" s="29">
        <f t="shared" ref="Y5:Y12" si="13">U5-T5</f>
        <v>-4.660536942</v>
      </c>
      <c r="Z5" s="12" t="str">
        <f t="shared" ref="Z5:Z12" si="14">IF(W5&gt;1, "EXIT: BLF &gt; 100% (Structurally Unviable)", IF(T5&lt;0, "RESTRUCTURE: Gauge Mismatch + Fuel Hit", "RETAIN &amp; REPRICE: Pure Fuel Shock"))</f>
        <v>RETAIN &amp; REPRICE: Pure Fuel Shock</v>
      </c>
    </row>
    <row r="6" ht="21.75" customHeight="1">
      <c r="A6" s="9" t="s">
        <v>83</v>
      </c>
      <c r="B6" s="7" t="s">
        <v>84</v>
      </c>
      <c r="C6" s="7" t="s">
        <v>82</v>
      </c>
      <c r="D6" s="8">
        <v>600.0</v>
      </c>
      <c r="E6" s="8">
        <v>4.0</v>
      </c>
      <c r="F6" s="8">
        <v>180.0</v>
      </c>
      <c r="G6" s="19">
        <v>0.82</v>
      </c>
      <c r="H6" s="8">
        <f t="shared" si="1"/>
        <v>215496</v>
      </c>
      <c r="I6" s="18">
        <f t="shared" si="2"/>
        <v>157.68</v>
      </c>
      <c r="J6" s="18">
        <f t="shared" si="3"/>
        <v>129.2976</v>
      </c>
      <c r="K6" s="17">
        <v>5.3</v>
      </c>
      <c r="L6" s="8">
        <v>410.0</v>
      </c>
      <c r="M6" s="17">
        <f t="shared" si="4"/>
        <v>4.906333333</v>
      </c>
      <c r="N6" s="18">
        <f t="shared" si="5"/>
        <v>77.363064</v>
      </c>
      <c r="O6" s="17">
        <v>1.52</v>
      </c>
      <c r="P6" s="17">
        <f t="shared" si="6"/>
        <v>4.5</v>
      </c>
      <c r="Q6" s="17">
        <f>O6*('1_Exec_Summary_KPIs'!$D$6/'1_Exec_Summary_KPIs'!$C$6)</f>
        <v>1.854523721</v>
      </c>
      <c r="R6" s="17">
        <f t="shared" si="7"/>
        <v>4.834523721</v>
      </c>
      <c r="S6" s="17">
        <v>2.98</v>
      </c>
      <c r="T6" s="20">
        <f t="shared" si="8"/>
        <v>6.407064</v>
      </c>
      <c r="U6" s="20">
        <f t="shared" si="9"/>
        <v>1.132293968</v>
      </c>
      <c r="V6" s="19">
        <f t="shared" si="10"/>
        <v>0.7520891365</v>
      </c>
      <c r="W6" s="19">
        <f t="shared" si="11"/>
        <v>0.8079983935</v>
      </c>
      <c r="X6" s="20">
        <f t="shared" si="12"/>
        <v>0</v>
      </c>
      <c r="Y6" s="20">
        <f t="shared" si="13"/>
        <v>-5.274770032</v>
      </c>
      <c r="Z6" s="7" t="str">
        <f t="shared" si="14"/>
        <v>RETAIN &amp; REPRICE: Pure Fuel Shock</v>
      </c>
    </row>
    <row r="7" ht="21.75" customHeight="1">
      <c r="A7" s="14" t="s">
        <v>85</v>
      </c>
      <c r="B7" s="12" t="s">
        <v>86</v>
      </c>
      <c r="C7" s="12" t="s">
        <v>82</v>
      </c>
      <c r="D7" s="16">
        <v>640.0</v>
      </c>
      <c r="E7" s="16">
        <v>4.0</v>
      </c>
      <c r="F7" s="16">
        <v>180.0</v>
      </c>
      <c r="G7" s="28">
        <v>0.83</v>
      </c>
      <c r="H7" s="16">
        <f t="shared" si="1"/>
        <v>218124</v>
      </c>
      <c r="I7" s="27">
        <f t="shared" si="2"/>
        <v>168.192</v>
      </c>
      <c r="J7" s="27">
        <f t="shared" si="3"/>
        <v>139.59936</v>
      </c>
      <c r="K7" s="13">
        <v>5.2</v>
      </c>
      <c r="L7" s="16">
        <v>430.0</v>
      </c>
      <c r="M7" s="13">
        <f t="shared" si="4"/>
        <v>4.87365625</v>
      </c>
      <c r="N7" s="27">
        <f t="shared" si="5"/>
        <v>81.9709992</v>
      </c>
      <c r="O7" s="13">
        <v>1.49</v>
      </c>
      <c r="P7" s="13">
        <f t="shared" si="6"/>
        <v>4.41</v>
      </c>
      <c r="Q7" s="13">
        <f>O7*('1_Exec_Summary_KPIs'!$D$6/'1_Exec_Summary_KPIs'!$C$6)</f>
        <v>1.817921279</v>
      </c>
      <c r="R7" s="13">
        <f t="shared" si="7"/>
        <v>4.737921279</v>
      </c>
      <c r="S7" s="13">
        <v>2.92</v>
      </c>
      <c r="T7" s="29">
        <f t="shared" si="8"/>
        <v>7.7983272</v>
      </c>
      <c r="U7" s="29">
        <f t="shared" si="9"/>
        <v>2.282953623</v>
      </c>
      <c r="V7" s="28">
        <f t="shared" si="10"/>
        <v>0.7510377861</v>
      </c>
      <c r="W7" s="28">
        <f t="shared" si="11"/>
        <v>0.8068838794</v>
      </c>
      <c r="X7" s="29">
        <f t="shared" si="12"/>
        <v>0</v>
      </c>
      <c r="Y7" s="29">
        <f t="shared" si="13"/>
        <v>-5.515373577</v>
      </c>
      <c r="Z7" s="12" t="str">
        <f t="shared" si="14"/>
        <v>RETAIN &amp; REPRICE: Pure Fuel Shock</v>
      </c>
    </row>
    <row r="8" ht="21.75" customHeight="1">
      <c r="A8" s="36" t="s">
        <v>87</v>
      </c>
      <c r="B8" s="37" t="s">
        <v>88</v>
      </c>
      <c r="C8" s="37" t="s">
        <v>89</v>
      </c>
      <c r="D8" s="38">
        <v>410.0</v>
      </c>
      <c r="E8" s="38">
        <v>2.0</v>
      </c>
      <c r="F8" s="38">
        <v>180.0</v>
      </c>
      <c r="G8" s="39">
        <v>0.62</v>
      </c>
      <c r="H8" s="38">
        <f t="shared" si="1"/>
        <v>81468</v>
      </c>
      <c r="I8" s="40">
        <f t="shared" si="2"/>
        <v>53.874</v>
      </c>
      <c r="J8" s="40">
        <f t="shared" si="3"/>
        <v>33.40188</v>
      </c>
      <c r="K8" s="41">
        <v>5.85</v>
      </c>
      <c r="L8" s="38">
        <v>380.0</v>
      </c>
      <c r="M8" s="41">
        <f t="shared" si="4"/>
        <v>4.201634146</v>
      </c>
      <c r="N8" s="40">
        <f t="shared" si="5"/>
        <v>22.6358838</v>
      </c>
      <c r="O8" s="41">
        <v>1.76</v>
      </c>
      <c r="P8" s="41">
        <f t="shared" si="6"/>
        <v>5.41</v>
      </c>
      <c r="Q8" s="41">
        <f>O8*('1_Exec_Summary_KPIs'!$D$6/'1_Exec_Summary_KPIs'!$C$6)</f>
        <v>2.147343256</v>
      </c>
      <c r="R8" s="41">
        <f t="shared" si="7"/>
        <v>5.797343256</v>
      </c>
      <c r="S8" s="41">
        <v>3.65</v>
      </c>
      <c r="T8" s="42">
        <f t="shared" si="8"/>
        <v>-6.5099502</v>
      </c>
      <c r="U8" s="42">
        <f t="shared" si="9"/>
        <v>-8.596723256</v>
      </c>
      <c r="V8" s="39">
        <f t="shared" si="10"/>
        <v>0.7983084398</v>
      </c>
      <c r="W8" s="39">
        <f t="shared" si="11"/>
        <v>0.8554654435</v>
      </c>
      <c r="X8" s="42">
        <f t="shared" si="12"/>
        <v>-6.5099502</v>
      </c>
      <c r="Y8" s="42">
        <f t="shared" si="13"/>
        <v>-2.086773056</v>
      </c>
      <c r="Z8" s="37" t="str">
        <f t="shared" si="14"/>
        <v>RESTRUCTURE: Gauge Mismatch + Fuel Hit</v>
      </c>
    </row>
    <row r="9" ht="21.75" customHeight="1">
      <c r="A9" s="36" t="s">
        <v>90</v>
      </c>
      <c r="B9" s="37" t="s">
        <v>91</v>
      </c>
      <c r="C9" s="37" t="s">
        <v>89</v>
      </c>
      <c r="D9" s="38">
        <v>540.0</v>
      </c>
      <c r="E9" s="38">
        <v>2.0</v>
      </c>
      <c r="F9" s="38">
        <v>180.0</v>
      </c>
      <c r="G9" s="39">
        <v>0.6</v>
      </c>
      <c r="H9" s="38">
        <f t="shared" si="1"/>
        <v>78840</v>
      </c>
      <c r="I9" s="40">
        <f t="shared" si="2"/>
        <v>70.956</v>
      </c>
      <c r="J9" s="40">
        <f t="shared" si="3"/>
        <v>42.5736</v>
      </c>
      <c r="K9" s="41">
        <v>5.65</v>
      </c>
      <c r="L9" s="38">
        <v>390.0</v>
      </c>
      <c r="M9" s="41">
        <f t="shared" si="4"/>
        <v>3.823333333</v>
      </c>
      <c r="N9" s="40">
        <f t="shared" si="5"/>
        <v>27.128844</v>
      </c>
      <c r="O9" s="41">
        <v>1.66</v>
      </c>
      <c r="P9" s="41">
        <f t="shared" si="6"/>
        <v>5.08</v>
      </c>
      <c r="Q9" s="41">
        <f>O9*('1_Exec_Summary_KPIs'!$D$6/'1_Exec_Summary_KPIs'!$C$6)</f>
        <v>2.025335116</v>
      </c>
      <c r="R9" s="41">
        <f t="shared" si="7"/>
        <v>5.445335116</v>
      </c>
      <c r="S9" s="41">
        <v>3.42</v>
      </c>
      <c r="T9" s="42">
        <f t="shared" si="8"/>
        <v>-8.916804</v>
      </c>
      <c r="U9" s="42">
        <f t="shared" si="9"/>
        <v>-11.50907585</v>
      </c>
      <c r="V9" s="39">
        <f t="shared" si="10"/>
        <v>0.7972101133</v>
      </c>
      <c r="W9" s="39">
        <f t="shared" si="11"/>
        <v>0.854542564</v>
      </c>
      <c r="X9" s="42">
        <f t="shared" si="12"/>
        <v>-8.916804</v>
      </c>
      <c r="Y9" s="42">
        <f t="shared" si="13"/>
        <v>-2.592271851</v>
      </c>
      <c r="Z9" s="37" t="str">
        <f t="shared" si="14"/>
        <v>RESTRUCTURE: Gauge Mismatch + Fuel Hit</v>
      </c>
    </row>
    <row r="10" ht="21.75" customHeight="1">
      <c r="A10" s="36" t="s">
        <v>92</v>
      </c>
      <c r="B10" s="37" t="s">
        <v>93</v>
      </c>
      <c r="C10" s="37" t="s">
        <v>89</v>
      </c>
      <c r="D10" s="38">
        <v>620.0</v>
      </c>
      <c r="E10" s="38">
        <v>2.0</v>
      </c>
      <c r="F10" s="38">
        <v>180.0</v>
      </c>
      <c r="G10" s="39">
        <v>0.64</v>
      </c>
      <c r="H10" s="38">
        <f t="shared" si="1"/>
        <v>84096</v>
      </c>
      <c r="I10" s="40">
        <f t="shared" si="2"/>
        <v>81.468</v>
      </c>
      <c r="J10" s="40">
        <f t="shared" si="3"/>
        <v>52.13952</v>
      </c>
      <c r="K10" s="41">
        <v>5.4</v>
      </c>
      <c r="L10" s="38">
        <v>400.0</v>
      </c>
      <c r="M10" s="41">
        <f t="shared" si="4"/>
        <v>3.868903226</v>
      </c>
      <c r="N10" s="40">
        <f t="shared" si="5"/>
        <v>31.5191808</v>
      </c>
      <c r="O10" s="41">
        <v>1.56</v>
      </c>
      <c r="P10" s="41">
        <f t="shared" si="6"/>
        <v>4.86</v>
      </c>
      <c r="Q10" s="41">
        <f>O10*('1_Exec_Summary_KPIs'!$D$6/'1_Exec_Summary_KPIs'!$C$6)</f>
        <v>1.903326977</v>
      </c>
      <c r="R10" s="41">
        <f t="shared" si="7"/>
        <v>5.203326977</v>
      </c>
      <c r="S10" s="41">
        <v>3.3</v>
      </c>
      <c r="T10" s="42">
        <f t="shared" si="8"/>
        <v>-8.0742672</v>
      </c>
      <c r="U10" s="42">
        <f t="shared" si="9"/>
        <v>-10.87128341</v>
      </c>
      <c r="V10" s="39">
        <f t="shared" si="10"/>
        <v>0.8039487727</v>
      </c>
      <c r="W10" s="39">
        <f t="shared" si="11"/>
        <v>0.8607424561</v>
      </c>
      <c r="X10" s="42">
        <f t="shared" si="12"/>
        <v>-8.0742672</v>
      </c>
      <c r="Y10" s="42">
        <f t="shared" si="13"/>
        <v>-2.797016214</v>
      </c>
      <c r="Z10" s="37" t="str">
        <f t="shared" si="14"/>
        <v>RESTRUCTURE: Gauge Mismatch + Fuel Hit</v>
      </c>
    </row>
    <row r="11" ht="21.75" customHeight="1">
      <c r="A11" s="43" t="s">
        <v>94</v>
      </c>
      <c r="B11" s="44" t="s">
        <v>95</v>
      </c>
      <c r="C11" s="44" t="s">
        <v>96</v>
      </c>
      <c r="D11" s="45">
        <v>320.0</v>
      </c>
      <c r="E11" s="45">
        <v>4.0</v>
      </c>
      <c r="F11" s="45">
        <v>180.0</v>
      </c>
      <c r="G11" s="46">
        <v>0.56</v>
      </c>
      <c r="H11" s="45">
        <f t="shared" si="1"/>
        <v>147168</v>
      </c>
      <c r="I11" s="47">
        <f t="shared" si="2"/>
        <v>84.096</v>
      </c>
      <c r="J11" s="47">
        <f t="shared" si="3"/>
        <v>47.09376</v>
      </c>
      <c r="K11" s="48">
        <v>5.15</v>
      </c>
      <c r="L11" s="45">
        <v>320.0</v>
      </c>
      <c r="M11" s="48">
        <f t="shared" si="4"/>
        <v>3.444</v>
      </c>
      <c r="N11" s="47">
        <f t="shared" si="5"/>
        <v>28.9626624</v>
      </c>
      <c r="O11" s="48">
        <v>2.05</v>
      </c>
      <c r="P11" s="48">
        <f t="shared" si="6"/>
        <v>6.5</v>
      </c>
      <c r="Q11" s="48">
        <f>O11*('1_Exec_Summary_KPIs'!$D$6/'1_Exec_Summary_KPIs'!$C$6)</f>
        <v>2.50116686</v>
      </c>
      <c r="R11" s="48">
        <f t="shared" si="7"/>
        <v>6.95116686</v>
      </c>
      <c r="S11" s="48">
        <v>4.45</v>
      </c>
      <c r="T11" s="49">
        <f t="shared" si="8"/>
        <v>-25.6997376</v>
      </c>
      <c r="U11" s="49">
        <f t="shared" si="9"/>
        <v>-29.49387043</v>
      </c>
      <c r="V11" s="46">
        <f t="shared" si="10"/>
        <v>1.056910569</v>
      </c>
      <c r="W11" s="46">
        <f t="shared" si="11"/>
        <v>1.130271034</v>
      </c>
      <c r="X11" s="49">
        <f t="shared" si="12"/>
        <v>-25.6997376</v>
      </c>
      <c r="Y11" s="49">
        <f t="shared" si="13"/>
        <v>-3.79413283</v>
      </c>
      <c r="Z11" s="44" t="str">
        <f t="shared" si="14"/>
        <v>EXIT: BLF &gt; 100% (Structurally Unviable)</v>
      </c>
    </row>
    <row r="12" ht="21.75" customHeight="1">
      <c r="A12" s="43" t="s">
        <v>97</v>
      </c>
      <c r="B12" s="44" t="s">
        <v>98</v>
      </c>
      <c r="C12" s="44" t="s">
        <v>96</v>
      </c>
      <c r="D12" s="45">
        <v>390.0</v>
      </c>
      <c r="E12" s="45">
        <v>4.0</v>
      </c>
      <c r="F12" s="45">
        <v>180.0</v>
      </c>
      <c r="G12" s="46">
        <v>0.58</v>
      </c>
      <c r="H12" s="45">
        <f t="shared" si="1"/>
        <v>152424</v>
      </c>
      <c r="I12" s="47">
        <f t="shared" si="2"/>
        <v>102.492</v>
      </c>
      <c r="J12" s="47">
        <f t="shared" si="3"/>
        <v>59.44536</v>
      </c>
      <c r="K12" s="48">
        <v>5.05</v>
      </c>
      <c r="L12" s="45">
        <v>340.0</v>
      </c>
      <c r="M12" s="48">
        <f t="shared" si="4"/>
        <v>3.434641026</v>
      </c>
      <c r="N12" s="47">
        <f t="shared" si="5"/>
        <v>35.2023228</v>
      </c>
      <c r="O12" s="48">
        <v>1.92</v>
      </c>
      <c r="P12" s="48">
        <f t="shared" si="6"/>
        <v>6.17</v>
      </c>
      <c r="Q12" s="48">
        <f>O12*('1_Exec_Summary_KPIs'!$D$6/'1_Exec_Summary_KPIs'!$C$6)</f>
        <v>2.342556279</v>
      </c>
      <c r="R12" s="48">
        <f t="shared" si="7"/>
        <v>6.592556279</v>
      </c>
      <c r="S12" s="48">
        <v>4.25</v>
      </c>
      <c r="T12" s="49">
        <f t="shared" si="8"/>
        <v>-28.0352412</v>
      </c>
      <c r="U12" s="49">
        <f t="shared" si="9"/>
        <v>-32.36610502</v>
      </c>
      <c r="V12" s="46">
        <f t="shared" si="10"/>
        <v>1.041913834</v>
      </c>
      <c r="W12" s="46">
        <f t="shared" si="11"/>
        <v>1.11326995</v>
      </c>
      <c r="X12" s="49">
        <f t="shared" si="12"/>
        <v>-28.0352412</v>
      </c>
      <c r="Y12" s="49">
        <f t="shared" si="13"/>
        <v>-4.330863815</v>
      </c>
      <c r="Z12" s="44" t="str">
        <f t="shared" si="14"/>
        <v>EXIT: BLF &gt; 100% (Structurally Unviable)</v>
      </c>
    </row>
    <row r="13" ht="21.75" customHeight="1">
      <c r="A13" s="50" t="s">
        <v>99</v>
      </c>
      <c r="B13" s="51" t="s">
        <v>100</v>
      </c>
      <c r="C13" s="51" t="s">
        <v>101</v>
      </c>
      <c r="D13" s="52">
        <f>AVERAGE(D5:D12)</f>
        <v>503.75</v>
      </c>
      <c r="E13" s="52">
        <f>SUM(E5:E12)</f>
        <v>26</v>
      </c>
      <c r="F13" s="52">
        <f>AVERAGE(F5:F12)</f>
        <v>180</v>
      </c>
      <c r="G13" s="53">
        <f>J13/I13</f>
        <v>0.7224961479</v>
      </c>
      <c r="H13" s="52">
        <f t="shared" ref="H13:J13" si="15">SUM(H5:H12)</f>
        <v>1198368</v>
      </c>
      <c r="I13" s="54">
        <f t="shared" si="15"/>
        <v>852.786</v>
      </c>
      <c r="J13" s="54">
        <f t="shared" si="15"/>
        <v>616.1346</v>
      </c>
      <c r="K13" s="55">
        <f>SUMPRODUCT(J5:J12,K5:K12)/J13</f>
        <v>5.331629345</v>
      </c>
      <c r="L13" s="52">
        <f>SUMPRODUCT(H5:H12,L5:L12)/H13</f>
        <v>391.4692982</v>
      </c>
      <c r="M13" s="55">
        <f>N13*10/I13</f>
        <v>4.402189522</v>
      </c>
      <c r="N13" s="54">
        <f>SUM(N5:N12)</f>
        <v>375.4125594</v>
      </c>
      <c r="O13" s="55">
        <f>SUMPRODUCT(I5:I12,O5:O12)/I13</f>
        <v>1.654483821</v>
      </c>
      <c r="P13" s="55">
        <f>SUMPRODUCT(I5:I12,P5:P12)/I13</f>
        <v>5.048613251</v>
      </c>
      <c r="Q13" s="55">
        <f>SUMPRODUCT(I5:I12,Q5:Q12)/I13</f>
        <v>2.018604929</v>
      </c>
      <c r="R13" s="55">
        <f>SUMPRODUCT(I5:I12,R5:R12)/I13</f>
        <v>5.412734359</v>
      </c>
      <c r="S13" s="55">
        <f>SUMPRODUCT(I5:I12,S5:S12)/I13</f>
        <v>3.39412943</v>
      </c>
      <c r="T13" s="56">
        <f t="shared" ref="T13:U13" si="16">SUM(T5:T12)</f>
        <v>-55.1261106</v>
      </c>
      <c r="U13" s="56">
        <f t="shared" si="16"/>
        <v>-86.17784892</v>
      </c>
      <c r="V13" s="53">
        <f t="shared" si="10"/>
        <v>0.828588503</v>
      </c>
      <c r="W13" s="53">
        <f t="shared" si="11"/>
        <v>0.8883487874</v>
      </c>
      <c r="X13" s="56">
        <f t="shared" ref="X13:Y13" si="17">SUM(X5:X12)</f>
        <v>-77.2360002</v>
      </c>
      <c r="Y13" s="56">
        <f t="shared" si="17"/>
        <v>-31.05173832</v>
      </c>
      <c r="Z13" s="51" t="s">
        <v>102</v>
      </c>
    </row>
    <row r="14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Z1"/>
    <mergeCell ref="A2:Z2"/>
  </mergeCells>
  <printOptions/>
  <pageMargins bottom="1.0" footer="0.0" header="0.0" left="0.75" right="0.75" top="1.0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3.0"/>
    <col customWidth="1" min="2" max="2" width="43.0"/>
    <col customWidth="1" min="3" max="3" width="68.0"/>
    <col customWidth="1" min="4" max="4" width="22.0"/>
    <col customWidth="1" min="5" max="6" width="18.0"/>
    <col customWidth="1" min="7" max="8" width="22.0"/>
    <col customWidth="1" min="9" max="9" width="19.0"/>
    <col customWidth="1" min="10" max="10" width="27.0"/>
    <col customWidth="1" min="11" max="11" width="31.0"/>
  </cols>
  <sheetData>
    <row r="1" ht="27.75" customHeight="1">
      <c r="A1" s="1" t="s">
        <v>103</v>
      </c>
    </row>
    <row r="2" ht="19.5" customHeight="1">
      <c r="A2" s="2" t="s">
        <v>104</v>
      </c>
    </row>
    <row r="3" ht="21.75" customHeight="1"/>
    <row r="4" ht="21.75" customHeight="1">
      <c r="A4" s="3" t="s">
        <v>105</v>
      </c>
    </row>
    <row r="5" ht="27.75" customHeight="1">
      <c r="A5" s="4" t="s">
        <v>54</v>
      </c>
      <c r="B5" s="5" t="s">
        <v>106</v>
      </c>
      <c r="C5" s="5" t="s">
        <v>107</v>
      </c>
      <c r="D5" s="4" t="s">
        <v>108</v>
      </c>
      <c r="E5" s="4" t="s">
        <v>62</v>
      </c>
      <c r="F5" s="4" t="s">
        <v>109</v>
      </c>
      <c r="G5" s="4" t="s">
        <v>110</v>
      </c>
      <c r="H5" s="4" t="s">
        <v>111</v>
      </c>
      <c r="I5" s="4" t="s">
        <v>112</v>
      </c>
      <c r="J5" s="4" t="s">
        <v>44</v>
      </c>
      <c r="K5" s="4" t="s">
        <v>113</v>
      </c>
    </row>
    <row r="6" ht="21.75" customHeight="1">
      <c r="A6" s="9" t="s">
        <v>80</v>
      </c>
      <c r="B6" s="7" t="s">
        <v>114</v>
      </c>
      <c r="C6" s="7" t="s">
        <v>115</v>
      </c>
      <c r="D6" s="9" t="s">
        <v>116</v>
      </c>
      <c r="E6" s="18">
        <f>'2_Route_PnL_and_BLF'!I5</f>
        <v>134.028</v>
      </c>
      <c r="F6" s="19">
        <v>0.815</v>
      </c>
      <c r="G6" s="17">
        <f>'2_Route_PnL_and_BLF'!M5*1.048</f>
        <v>5.522713412</v>
      </c>
      <c r="H6" s="17">
        <f>'2_Route_PnL_and_BLF'!R5*0.99</f>
        <v>4.977451319</v>
      </c>
      <c r="I6" s="19">
        <f t="shared" ref="I6:I11" si="1">H6/(G6/F6)</f>
        <v>0.7345343715</v>
      </c>
      <c r="J6" s="20">
        <f t="shared" ref="J6:J11" si="2">E6*(G6-H6)/10</f>
        <v>7.308038782</v>
      </c>
      <c r="K6" s="20">
        <f>J6-'2_Route_PnL_and_BLF'!U5</f>
        <v>4.064077325</v>
      </c>
    </row>
    <row r="7" ht="21.75" customHeight="1">
      <c r="A7" s="14" t="s">
        <v>83</v>
      </c>
      <c r="B7" s="12" t="s">
        <v>117</v>
      </c>
      <c r="C7" s="12" t="s">
        <v>118</v>
      </c>
      <c r="D7" s="14" t="s">
        <v>116</v>
      </c>
      <c r="E7" s="27">
        <f>'2_Route_PnL_and_BLF'!I6</f>
        <v>157.68</v>
      </c>
      <c r="F7" s="28">
        <v>0.795</v>
      </c>
      <c r="G7" s="13">
        <f>'2_Route_PnL_and_BLF'!M6*1.044</f>
        <v>5.122212</v>
      </c>
      <c r="H7" s="13">
        <f>'2_Route_PnL_and_BLF'!R6*0.99</f>
        <v>4.786178484</v>
      </c>
      <c r="I7" s="28">
        <f t="shared" si="1"/>
        <v>0.7428454532</v>
      </c>
      <c r="J7" s="29">
        <f t="shared" si="2"/>
        <v>5.298576485</v>
      </c>
      <c r="K7" s="29">
        <f>J7-'2_Route_PnL_and_BLF'!U6</f>
        <v>4.166282516</v>
      </c>
    </row>
    <row r="8" ht="21.75" customHeight="1">
      <c r="A8" s="9" t="s">
        <v>85</v>
      </c>
      <c r="B8" s="7" t="s">
        <v>119</v>
      </c>
      <c r="C8" s="7" t="s">
        <v>118</v>
      </c>
      <c r="D8" s="9" t="s">
        <v>116</v>
      </c>
      <c r="E8" s="18">
        <f>'2_Route_PnL_and_BLF'!I7</f>
        <v>168.192</v>
      </c>
      <c r="F8" s="19">
        <v>0.805</v>
      </c>
      <c r="G8" s="17">
        <f>'2_Route_PnL_and_BLF'!M7*1.045</f>
        <v>5.092970781</v>
      </c>
      <c r="H8" s="17">
        <f>'2_Route_PnL_and_BLF'!R7*0.99</f>
        <v>4.690542066</v>
      </c>
      <c r="I8" s="19">
        <f t="shared" si="1"/>
        <v>0.7413917192</v>
      </c>
      <c r="J8" s="20">
        <f t="shared" si="2"/>
        <v>6.768529043</v>
      </c>
      <c r="K8" s="20">
        <f>J8-'2_Route_PnL_and_BLF'!U7</f>
        <v>4.48557542</v>
      </c>
    </row>
    <row r="9" ht="21.75" customHeight="1">
      <c r="A9" s="14" t="s">
        <v>87</v>
      </c>
      <c r="B9" s="12" t="s">
        <v>120</v>
      </c>
      <c r="C9" s="12" t="s">
        <v>121</v>
      </c>
      <c r="D9" s="14" t="s">
        <v>122</v>
      </c>
      <c r="E9" s="27">
        <f>'2_Route_PnL_and_BLF'!I8*0.65</f>
        <v>35.0181</v>
      </c>
      <c r="F9" s="28">
        <v>0.71</v>
      </c>
      <c r="G9" s="13">
        <f>'2_Route_PnL_and_BLF'!M8*1.08</f>
        <v>4.537764878</v>
      </c>
      <c r="H9" s="13">
        <f>'2_Route_PnL_and_BLF'!R8*1.02</f>
        <v>5.913290121</v>
      </c>
      <c r="I9" s="28">
        <f t="shared" si="1"/>
        <v>0.9252211383</v>
      </c>
      <c r="J9" s="29">
        <f t="shared" si="2"/>
        <v>-4.816828051</v>
      </c>
      <c r="K9" s="29">
        <f>J9-'2_Route_PnL_and_BLF'!U8</f>
        <v>3.779895206</v>
      </c>
    </row>
    <row r="10" ht="21.75" customHeight="1">
      <c r="A10" s="9" t="s">
        <v>90</v>
      </c>
      <c r="B10" s="7" t="s">
        <v>123</v>
      </c>
      <c r="C10" s="7" t="s">
        <v>121</v>
      </c>
      <c r="D10" s="9" t="s">
        <v>122</v>
      </c>
      <c r="E10" s="18">
        <f>'2_Route_PnL_and_BLF'!I9*0.65</f>
        <v>46.1214</v>
      </c>
      <c r="F10" s="19">
        <v>0.69</v>
      </c>
      <c r="G10" s="17">
        <f>'2_Route_PnL_and_BLF'!M9*1.08</f>
        <v>4.1292</v>
      </c>
      <c r="H10" s="17">
        <f>'2_Route_PnL_and_BLF'!R9*1.02</f>
        <v>5.554241819</v>
      </c>
      <c r="I10" s="19">
        <f t="shared" si="1"/>
        <v>0.9281281737</v>
      </c>
      <c r="J10" s="20">
        <f t="shared" si="2"/>
        <v>-6.572492373</v>
      </c>
      <c r="K10" s="20">
        <f>J10-'2_Route_PnL_and_BLF'!U9</f>
        <v>4.936583478</v>
      </c>
    </row>
    <row r="11" ht="21.75" customHeight="1">
      <c r="A11" s="14" t="s">
        <v>92</v>
      </c>
      <c r="B11" s="12" t="s">
        <v>124</v>
      </c>
      <c r="C11" s="12" t="s">
        <v>125</v>
      </c>
      <c r="D11" s="14" t="s">
        <v>122</v>
      </c>
      <c r="E11" s="27">
        <f>'2_Route_PnL_and_BLF'!I10*0.75</f>
        <v>61.101</v>
      </c>
      <c r="F11" s="28">
        <v>0.72</v>
      </c>
      <c r="G11" s="13">
        <f>'2_Route_PnL_and_BLF'!M10*1.07</f>
        <v>4.139726452</v>
      </c>
      <c r="H11" s="13">
        <f>'2_Route_PnL_and_BLF'!R10*1.01</f>
        <v>5.255360247</v>
      </c>
      <c r="I11" s="28">
        <f t="shared" si="1"/>
        <v>0.9140360895</v>
      </c>
      <c r="J11" s="29">
        <f t="shared" si="2"/>
        <v>-6.81663405</v>
      </c>
      <c r="K11" s="29">
        <f>J11-'2_Route_PnL_and_BLF'!U10</f>
        <v>4.054649364</v>
      </c>
    </row>
    <row r="12" ht="21.75" customHeight="1">
      <c r="A12" s="9" t="s">
        <v>94</v>
      </c>
      <c r="B12" s="7" t="s">
        <v>126</v>
      </c>
      <c r="C12" s="7" t="s">
        <v>127</v>
      </c>
      <c r="D12" s="9" t="s">
        <v>128</v>
      </c>
      <c r="E12" s="18">
        <v>0.0</v>
      </c>
      <c r="F12" s="19">
        <v>0.0</v>
      </c>
      <c r="G12" s="17">
        <v>0.0</v>
      </c>
      <c r="H12" s="17">
        <v>0.0</v>
      </c>
      <c r="I12" s="19">
        <v>0.0</v>
      </c>
      <c r="J12" s="20">
        <v>-2.1</v>
      </c>
      <c r="K12" s="20">
        <f>J12-'2_Route_PnL_and_BLF'!U11</f>
        <v>27.39387043</v>
      </c>
    </row>
    <row r="13" ht="21.75" customHeight="1">
      <c r="A13" s="14" t="s">
        <v>97</v>
      </c>
      <c r="B13" s="12" t="s">
        <v>129</v>
      </c>
      <c r="C13" s="12" t="s">
        <v>127</v>
      </c>
      <c r="D13" s="14" t="s">
        <v>128</v>
      </c>
      <c r="E13" s="27">
        <v>0.0</v>
      </c>
      <c r="F13" s="28">
        <v>0.0</v>
      </c>
      <c r="G13" s="13">
        <v>0.0</v>
      </c>
      <c r="H13" s="13">
        <v>0.0</v>
      </c>
      <c r="I13" s="28">
        <v>0.0</v>
      </c>
      <c r="J13" s="29">
        <v>-2.4</v>
      </c>
      <c r="K13" s="29">
        <f>J13-'2_Route_PnL_and_BLF'!U12</f>
        <v>29.96610502</v>
      </c>
    </row>
    <row r="14" ht="21.75" customHeight="1">
      <c r="A14" s="50" t="s">
        <v>99</v>
      </c>
      <c r="B14" s="51" t="s">
        <v>130</v>
      </c>
      <c r="C14" s="51" t="s">
        <v>131</v>
      </c>
      <c r="D14" s="50" t="s">
        <v>132</v>
      </c>
      <c r="E14" s="54">
        <f>SUM(E6:E13)</f>
        <v>602.1405</v>
      </c>
      <c r="F14" s="53">
        <f>SUMPRODUCT(E6:E13,F6:F13)/E14</f>
        <v>0.7816486634</v>
      </c>
      <c r="G14" s="55">
        <f>SUMPRODUCT(E6:E13,G6:G13)/E14</f>
        <v>4.993444849</v>
      </c>
      <c r="H14" s="55">
        <f>SUMPRODUCT(E6:E13,H6:H13)/E14</f>
        <v>4.974027623</v>
      </c>
      <c r="I14" s="53">
        <f>H14/(G14/F14)</f>
        <v>0.7786091888</v>
      </c>
      <c r="J14" s="56">
        <f t="shared" ref="J14:K14" si="3">SUM(J6:J13)</f>
        <v>-3.330810165</v>
      </c>
      <c r="K14" s="56">
        <f t="shared" si="3"/>
        <v>82.84703875</v>
      </c>
    </row>
    <row r="15" ht="21.75" customHeight="1"/>
    <row r="16" ht="21.75" customHeight="1">
      <c r="A16" s="3" t="s">
        <v>133</v>
      </c>
    </row>
    <row r="17" ht="27.75" customHeight="1">
      <c r="A17" s="4" t="s">
        <v>54</v>
      </c>
      <c r="B17" s="5" t="s">
        <v>106</v>
      </c>
      <c r="C17" s="5" t="s">
        <v>107</v>
      </c>
      <c r="D17" s="4" t="s">
        <v>108</v>
      </c>
      <c r="E17" s="4" t="s">
        <v>62</v>
      </c>
      <c r="F17" s="4" t="s">
        <v>109</v>
      </c>
      <c r="G17" s="4" t="s">
        <v>110</v>
      </c>
      <c r="H17" s="4" t="s">
        <v>111</v>
      </c>
      <c r="I17" s="4" t="s">
        <v>112</v>
      </c>
      <c r="J17" s="4" t="s">
        <v>44</v>
      </c>
      <c r="K17" s="4" t="s">
        <v>113</v>
      </c>
    </row>
    <row r="18" ht="21.75" customHeight="1">
      <c r="A18" s="9" t="s">
        <v>80</v>
      </c>
      <c r="B18" s="7" t="s">
        <v>114</v>
      </c>
      <c r="C18" s="7" t="s">
        <v>134</v>
      </c>
      <c r="D18" s="9" t="s">
        <v>116</v>
      </c>
      <c r="E18" s="18">
        <f>'2_Route_PnL_and_BLF'!I5</f>
        <v>134.028</v>
      </c>
      <c r="F18" s="19">
        <v>0.84</v>
      </c>
      <c r="G18" s="17">
        <f>'2_Route_PnL_and_BLF'!M5</f>
        <v>5.269764706</v>
      </c>
      <c r="H18" s="17">
        <f>'2_Route_PnL_and_BLF'!R5</f>
        <v>5.027728605</v>
      </c>
      <c r="I18" s="19">
        <f t="shared" ref="I18:I26" si="4">H18/(G18/F18)</f>
        <v>0.8014194682</v>
      </c>
      <c r="J18" s="20">
        <f t="shared" ref="J18:J25" si="5">E18*(G18-H18)/10</f>
        <v>3.243961458</v>
      </c>
      <c r="K18" s="20">
        <f>J18-'2_Route_PnL_and_BLF'!U5</f>
        <v>0</v>
      </c>
    </row>
    <row r="19" ht="21.75" customHeight="1">
      <c r="A19" s="14" t="s">
        <v>83</v>
      </c>
      <c r="B19" s="12" t="s">
        <v>117</v>
      </c>
      <c r="C19" s="12" t="s">
        <v>134</v>
      </c>
      <c r="D19" s="14" t="s">
        <v>116</v>
      </c>
      <c r="E19" s="27">
        <f>'2_Route_PnL_and_BLF'!I6</f>
        <v>157.68</v>
      </c>
      <c r="F19" s="28">
        <v>0.82</v>
      </c>
      <c r="G19" s="13">
        <f>'2_Route_PnL_and_BLF'!M6</f>
        <v>4.906333333</v>
      </c>
      <c r="H19" s="13">
        <f>'2_Route_PnL_and_BLF'!R6</f>
        <v>4.834523721</v>
      </c>
      <c r="I19" s="28">
        <f t="shared" si="4"/>
        <v>0.8079983935</v>
      </c>
      <c r="J19" s="29">
        <f t="shared" si="5"/>
        <v>1.132293968</v>
      </c>
      <c r="K19" s="29">
        <f>J19-'2_Route_PnL_and_BLF'!U6</f>
        <v>0</v>
      </c>
    </row>
    <row r="20" ht="21.75" customHeight="1">
      <c r="A20" s="9" t="s">
        <v>85</v>
      </c>
      <c r="B20" s="7" t="s">
        <v>119</v>
      </c>
      <c r="C20" s="7" t="s">
        <v>134</v>
      </c>
      <c r="D20" s="9" t="s">
        <v>116</v>
      </c>
      <c r="E20" s="18">
        <f>'2_Route_PnL_and_BLF'!I7</f>
        <v>168.192</v>
      </c>
      <c r="F20" s="19">
        <v>0.83</v>
      </c>
      <c r="G20" s="17">
        <f>'2_Route_PnL_and_BLF'!M7</f>
        <v>4.87365625</v>
      </c>
      <c r="H20" s="17">
        <f>'2_Route_PnL_and_BLF'!R7</f>
        <v>4.737921279</v>
      </c>
      <c r="I20" s="19">
        <f t="shared" si="4"/>
        <v>0.8068838794</v>
      </c>
      <c r="J20" s="20">
        <f t="shared" si="5"/>
        <v>2.282953623</v>
      </c>
      <c r="K20" s="20">
        <f>J20-'2_Route_PnL_and_BLF'!U7</f>
        <v>0</v>
      </c>
    </row>
    <row r="21" ht="21.75" customHeight="1">
      <c r="A21" s="14" t="s">
        <v>87</v>
      </c>
      <c r="B21" s="12" t="s">
        <v>120</v>
      </c>
      <c r="C21" s="12" t="s">
        <v>135</v>
      </c>
      <c r="D21" s="14" t="s">
        <v>136</v>
      </c>
      <c r="E21" s="27">
        <f>'2_Route_PnL_and_BLF'!I8</f>
        <v>53.874</v>
      </c>
      <c r="F21" s="28">
        <v>0.76</v>
      </c>
      <c r="G21" s="13">
        <v>4.98</v>
      </c>
      <c r="H21" s="13">
        <f>'2_Route_PnL_and_BLF'!R8*0.87</f>
        <v>5.043688633</v>
      </c>
      <c r="I21" s="28">
        <f t="shared" si="4"/>
        <v>0.7697195504</v>
      </c>
      <c r="J21" s="29">
        <f t="shared" si="5"/>
        <v>-0.343116139</v>
      </c>
      <c r="K21" s="29">
        <f>J21-'2_Route_PnL_and_BLF'!U8</f>
        <v>8.253607117</v>
      </c>
    </row>
    <row r="22" ht="21.75" customHeight="1">
      <c r="A22" s="9" t="s">
        <v>90</v>
      </c>
      <c r="B22" s="7" t="s">
        <v>123</v>
      </c>
      <c r="C22" s="7" t="s">
        <v>135</v>
      </c>
      <c r="D22" s="9" t="s">
        <v>136</v>
      </c>
      <c r="E22" s="18">
        <f>'2_Route_PnL_and_BLF'!I9</f>
        <v>70.956</v>
      </c>
      <c r="F22" s="19">
        <v>0.75</v>
      </c>
      <c r="G22" s="17">
        <v>4.76</v>
      </c>
      <c r="H22" s="17">
        <f>'2_Route_PnL_and_BLF'!R9*0.87</f>
        <v>4.737441551</v>
      </c>
      <c r="I22" s="19">
        <f t="shared" si="4"/>
        <v>0.7464456226</v>
      </c>
      <c r="J22" s="20">
        <f t="shared" si="5"/>
        <v>0.1600657296</v>
      </c>
      <c r="K22" s="20">
        <f>J22-'2_Route_PnL_and_BLF'!U9</f>
        <v>11.66914158</v>
      </c>
    </row>
    <row r="23" ht="21.75" customHeight="1">
      <c r="A23" s="14" t="s">
        <v>92</v>
      </c>
      <c r="B23" s="12" t="s">
        <v>124</v>
      </c>
      <c r="C23" s="12" t="s">
        <v>135</v>
      </c>
      <c r="D23" s="14" t="s">
        <v>136</v>
      </c>
      <c r="E23" s="27">
        <f>'2_Route_PnL_and_BLF'!I10</f>
        <v>81.468</v>
      </c>
      <c r="F23" s="28">
        <v>0.77</v>
      </c>
      <c r="G23" s="13">
        <v>4.68</v>
      </c>
      <c r="H23" s="13">
        <f>'2_Route_PnL_and_BLF'!R10*0.87</f>
        <v>4.52689447</v>
      </c>
      <c r="I23" s="28">
        <f t="shared" si="4"/>
        <v>0.7448095602</v>
      </c>
      <c r="J23" s="29">
        <f t="shared" si="5"/>
        <v>1.247320134</v>
      </c>
      <c r="K23" s="29">
        <f>J23-'2_Route_PnL_and_BLF'!U10</f>
        <v>12.11860355</v>
      </c>
    </row>
    <row r="24" ht="21.75" customHeight="1">
      <c r="A24" s="9" t="s">
        <v>94</v>
      </c>
      <c r="B24" s="7" t="s">
        <v>126</v>
      </c>
      <c r="C24" s="7" t="s">
        <v>137</v>
      </c>
      <c r="D24" s="9" t="s">
        <v>116</v>
      </c>
      <c r="E24" s="18">
        <f>'2_Route_PnL_and_BLF'!I11</f>
        <v>84.096</v>
      </c>
      <c r="F24" s="19">
        <v>0.71</v>
      </c>
      <c r="G24" s="17">
        <v>4.65</v>
      </c>
      <c r="H24" s="17">
        <f>'2_Route_PnL_and_BLF'!R11*0.88</f>
        <v>6.117026837</v>
      </c>
      <c r="I24" s="19">
        <f t="shared" si="4"/>
        <v>0.9339976461</v>
      </c>
      <c r="J24" s="20">
        <f t="shared" si="5"/>
        <v>-12.33710889</v>
      </c>
      <c r="K24" s="20">
        <f>J24-'2_Route_PnL_and_BLF'!U11</f>
        <v>17.15676154</v>
      </c>
    </row>
    <row r="25" ht="21.75" customHeight="1">
      <c r="A25" s="14" t="s">
        <v>97</v>
      </c>
      <c r="B25" s="12" t="s">
        <v>129</v>
      </c>
      <c r="C25" s="12" t="s">
        <v>137</v>
      </c>
      <c r="D25" s="14" t="s">
        <v>116</v>
      </c>
      <c r="E25" s="27">
        <f>'2_Route_PnL_and_BLF'!I12</f>
        <v>102.492</v>
      </c>
      <c r="F25" s="28">
        <v>0.72</v>
      </c>
      <c r="G25" s="13">
        <v>4.58</v>
      </c>
      <c r="H25" s="13">
        <f>'2_Route_PnL_and_BLF'!R12*0.88</f>
        <v>5.801449526</v>
      </c>
      <c r="I25" s="28">
        <f t="shared" si="4"/>
        <v>0.912018266</v>
      </c>
      <c r="J25" s="29">
        <f t="shared" si="5"/>
        <v>-12.51888048</v>
      </c>
      <c r="K25" s="29">
        <f>J25-'2_Route_PnL_and_BLF'!U12</f>
        <v>19.84722454</v>
      </c>
    </row>
    <row r="26" ht="21.75" customHeight="1">
      <c r="A26" s="50" t="s">
        <v>99</v>
      </c>
      <c r="B26" s="51" t="s">
        <v>130</v>
      </c>
      <c r="C26" s="51" t="s">
        <v>131</v>
      </c>
      <c r="D26" s="50" t="s">
        <v>132</v>
      </c>
      <c r="E26" s="54">
        <f>SUM(E18:E25)</f>
        <v>852.786</v>
      </c>
      <c r="F26" s="53">
        <f>SUMPRODUCT(E18:E25,F18:F25)/E26</f>
        <v>0.7878582435</v>
      </c>
      <c r="G26" s="55">
        <f>SUMPRODUCT(E18:E25,G18:G25)/E26</f>
        <v>4.863365177</v>
      </c>
      <c r="H26" s="55">
        <f>SUMPRODUCT(E18:E25,H18:H25)/E26</f>
        <v>5.064265645</v>
      </c>
      <c r="I26" s="53">
        <f t="shared" si="4"/>
        <v>0.8204038335</v>
      </c>
      <c r="J26" s="56">
        <f t="shared" ref="J26:K26" si="6">SUM(J18:J25)</f>
        <v>-17.13251059</v>
      </c>
      <c r="K26" s="56">
        <f t="shared" si="6"/>
        <v>69.04533832</v>
      </c>
    </row>
    <row r="27" ht="21.75" customHeight="1"/>
    <row r="28" ht="21.75" customHeight="1">
      <c r="A28" s="3" t="s">
        <v>138</v>
      </c>
    </row>
    <row r="29" ht="27.75" customHeight="1">
      <c r="A29" s="4" t="s">
        <v>54</v>
      </c>
      <c r="B29" s="5" t="s">
        <v>106</v>
      </c>
      <c r="C29" s="5" t="s">
        <v>107</v>
      </c>
      <c r="D29" s="4" t="s">
        <v>108</v>
      </c>
      <c r="E29" s="4" t="s">
        <v>62</v>
      </c>
      <c r="F29" s="4" t="s">
        <v>109</v>
      </c>
      <c r="G29" s="4" t="s">
        <v>110</v>
      </c>
      <c r="H29" s="4" t="s">
        <v>111</v>
      </c>
      <c r="I29" s="4" t="s">
        <v>112</v>
      </c>
      <c r="J29" s="4" t="s">
        <v>44</v>
      </c>
      <c r="K29" s="4" t="s">
        <v>113</v>
      </c>
    </row>
    <row r="30" ht="21.75" customHeight="1">
      <c r="A30" s="9" t="s">
        <v>80</v>
      </c>
      <c r="B30" s="7" t="s">
        <v>114</v>
      </c>
      <c r="C30" s="7" t="s">
        <v>139</v>
      </c>
      <c r="D30" s="9" t="s">
        <v>116</v>
      </c>
      <c r="E30" s="18">
        <f>'2_Route_PnL_and_BLF'!I5</f>
        <v>134.028</v>
      </c>
      <c r="F30" s="19">
        <v>0.84</v>
      </c>
      <c r="G30" s="17">
        <f>'2_Route_PnL_and_BLF'!M5</f>
        <v>5.269764706</v>
      </c>
      <c r="H30" s="17">
        <f>'2_Route_PnL_and_BLF'!R5*0.955</f>
        <v>4.801480817</v>
      </c>
      <c r="I30" s="19">
        <f t="shared" ref="I30:I38" si="7">H30/(G30/F30)</f>
        <v>0.7653555921</v>
      </c>
      <c r="J30" s="20">
        <f t="shared" ref="J30:J37" si="8">E30*(G30-H30)/10</f>
        <v>6.2763153</v>
      </c>
      <c r="K30" s="20">
        <f>J30-'2_Route_PnL_and_BLF'!U5</f>
        <v>3.032353842</v>
      </c>
    </row>
    <row r="31" ht="21.75" customHeight="1">
      <c r="A31" s="14" t="s">
        <v>83</v>
      </c>
      <c r="B31" s="12" t="s">
        <v>117</v>
      </c>
      <c r="C31" s="12" t="s">
        <v>139</v>
      </c>
      <c r="D31" s="14" t="s">
        <v>116</v>
      </c>
      <c r="E31" s="27">
        <f>'2_Route_PnL_and_BLF'!I6</f>
        <v>157.68</v>
      </c>
      <c r="F31" s="28">
        <v>0.82</v>
      </c>
      <c r="G31" s="13">
        <f>'2_Route_PnL_and_BLF'!M6</f>
        <v>4.906333333</v>
      </c>
      <c r="H31" s="13">
        <f>'2_Route_PnL_and_BLF'!R6*0.955</f>
        <v>4.616970153</v>
      </c>
      <c r="I31" s="28">
        <f t="shared" si="7"/>
        <v>0.7716384658</v>
      </c>
      <c r="J31" s="29">
        <f t="shared" si="8"/>
        <v>4.56267862</v>
      </c>
      <c r="K31" s="29">
        <f>J31-'2_Route_PnL_and_BLF'!U6</f>
        <v>3.430384651</v>
      </c>
    </row>
    <row r="32" ht="21.75" customHeight="1">
      <c r="A32" s="9" t="s">
        <v>85</v>
      </c>
      <c r="B32" s="7" t="s">
        <v>119</v>
      </c>
      <c r="C32" s="7" t="s">
        <v>139</v>
      </c>
      <c r="D32" s="9" t="s">
        <v>116</v>
      </c>
      <c r="E32" s="18">
        <f>'2_Route_PnL_and_BLF'!I7</f>
        <v>168.192</v>
      </c>
      <c r="F32" s="19">
        <v>0.83</v>
      </c>
      <c r="G32" s="17">
        <f>'2_Route_PnL_and_BLF'!M7</f>
        <v>4.87365625</v>
      </c>
      <c r="H32" s="17">
        <f>'2_Route_PnL_and_BLF'!R7*0.955</f>
        <v>4.524714822</v>
      </c>
      <c r="I32" s="19">
        <f t="shared" si="7"/>
        <v>0.7705741048</v>
      </c>
      <c r="J32" s="20">
        <f t="shared" si="8"/>
        <v>5.868915674</v>
      </c>
      <c r="K32" s="20">
        <f>J32-'2_Route_PnL_and_BLF'!U7</f>
        <v>3.585962051</v>
      </c>
    </row>
    <row r="33" ht="21.75" customHeight="1">
      <c r="A33" s="14" t="s">
        <v>87</v>
      </c>
      <c r="B33" s="12" t="s">
        <v>120</v>
      </c>
      <c r="C33" s="12" t="s">
        <v>140</v>
      </c>
      <c r="D33" s="14" t="s">
        <v>141</v>
      </c>
      <c r="E33" s="27">
        <f>'2_Route_PnL_and_BLF'!I8*0.65</f>
        <v>35.0181</v>
      </c>
      <c r="F33" s="28">
        <v>0.84</v>
      </c>
      <c r="G33" s="13">
        <v>5.55</v>
      </c>
      <c r="H33" s="13">
        <v>5.02</v>
      </c>
      <c r="I33" s="28">
        <f t="shared" si="7"/>
        <v>0.7597837838</v>
      </c>
      <c r="J33" s="29">
        <f t="shared" si="8"/>
        <v>1.8559593</v>
      </c>
      <c r="K33" s="29">
        <f>J33-'2_Route_PnL_and_BLF'!U8</f>
        <v>10.45268256</v>
      </c>
    </row>
    <row r="34" ht="21.75" customHeight="1">
      <c r="A34" s="9" t="s">
        <v>90</v>
      </c>
      <c r="B34" s="7" t="s">
        <v>123</v>
      </c>
      <c r="C34" s="7" t="s">
        <v>142</v>
      </c>
      <c r="D34" s="9" t="s">
        <v>141</v>
      </c>
      <c r="E34" s="18">
        <f>'2_Route_PnL_and_BLF'!I9*0.65</f>
        <v>46.1214</v>
      </c>
      <c r="F34" s="19">
        <v>0.83</v>
      </c>
      <c r="G34" s="17">
        <v>5.38</v>
      </c>
      <c r="H34" s="17">
        <v>4.86</v>
      </c>
      <c r="I34" s="19">
        <f t="shared" si="7"/>
        <v>0.7497769517</v>
      </c>
      <c r="J34" s="20">
        <f t="shared" si="8"/>
        <v>2.3983128</v>
      </c>
      <c r="K34" s="20">
        <f>J34-'2_Route_PnL_and_BLF'!U9</f>
        <v>13.90738865</v>
      </c>
    </row>
    <row r="35" ht="21.75" customHeight="1">
      <c r="A35" s="14" t="s">
        <v>92</v>
      </c>
      <c r="B35" s="12" t="s">
        <v>124</v>
      </c>
      <c r="C35" s="12" t="s">
        <v>143</v>
      </c>
      <c r="D35" s="14" t="s">
        <v>141</v>
      </c>
      <c r="E35" s="27">
        <f>'2_Route_PnL_and_BLF'!I10*0.65</f>
        <v>52.9542</v>
      </c>
      <c r="F35" s="28">
        <v>0.85</v>
      </c>
      <c r="G35" s="13">
        <v>5.25</v>
      </c>
      <c r="H35" s="13">
        <v>4.74</v>
      </c>
      <c r="I35" s="28">
        <f t="shared" si="7"/>
        <v>0.7674285714</v>
      </c>
      <c r="J35" s="29">
        <f t="shared" si="8"/>
        <v>2.7006642</v>
      </c>
      <c r="K35" s="29">
        <f>J35-'2_Route_PnL_and_BLF'!U10</f>
        <v>13.57194761</v>
      </c>
    </row>
    <row r="36" ht="21.75" customHeight="1">
      <c r="A36" s="9" t="s">
        <v>94</v>
      </c>
      <c r="B36" s="7" t="s">
        <v>126</v>
      </c>
      <c r="C36" s="7" t="s">
        <v>144</v>
      </c>
      <c r="D36" s="9" t="s">
        <v>141</v>
      </c>
      <c r="E36" s="18">
        <f>'2_Route_PnL_and_BLF'!I11*0.48</f>
        <v>40.36608</v>
      </c>
      <c r="F36" s="19">
        <v>0.74</v>
      </c>
      <c r="G36" s="17">
        <v>4.35</v>
      </c>
      <c r="H36" s="17">
        <v>5.15</v>
      </c>
      <c r="I36" s="19">
        <f t="shared" si="7"/>
        <v>0.876091954</v>
      </c>
      <c r="J36" s="20">
        <f t="shared" si="8"/>
        <v>-3.2292864</v>
      </c>
      <c r="K36" s="20">
        <f>J36-'2_Route_PnL_and_BLF'!U11</f>
        <v>26.26458403</v>
      </c>
    </row>
    <row r="37" ht="21.75" customHeight="1">
      <c r="A37" s="14" t="s">
        <v>97</v>
      </c>
      <c r="B37" s="12" t="s">
        <v>129</v>
      </c>
      <c r="C37" s="12" t="s">
        <v>145</v>
      </c>
      <c r="D37" s="14" t="s">
        <v>141</v>
      </c>
      <c r="E37" s="27">
        <f>'2_Route_PnL_and_BLF'!I12*0.48</f>
        <v>49.19616</v>
      </c>
      <c r="F37" s="28">
        <v>0.75</v>
      </c>
      <c r="G37" s="13">
        <v>4.3</v>
      </c>
      <c r="H37" s="13">
        <v>4.98</v>
      </c>
      <c r="I37" s="28">
        <f t="shared" si="7"/>
        <v>0.8686046512</v>
      </c>
      <c r="J37" s="29">
        <f t="shared" si="8"/>
        <v>-3.34533888</v>
      </c>
      <c r="K37" s="29">
        <f>J37-'2_Route_PnL_and_BLF'!U12</f>
        <v>29.02076614</v>
      </c>
    </row>
    <row r="38" ht="21.75" customHeight="1">
      <c r="A38" s="50" t="s">
        <v>99</v>
      </c>
      <c r="B38" s="51" t="s">
        <v>130</v>
      </c>
      <c r="C38" s="51" t="s">
        <v>131</v>
      </c>
      <c r="D38" s="50" t="s">
        <v>132</v>
      </c>
      <c r="E38" s="54">
        <f>SUM(E30:E37)</f>
        <v>683.55594</v>
      </c>
      <c r="F38" s="53">
        <f>SUMPRODUCT(E30:E37,F30:F37)/E38</f>
        <v>0.8206432018</v>
      </c>
      <c r="G38" s="55">
        <f>SUMPRODUCT(E30:E37,G30:G37)/E38</f>
        <v>4.984618712</v>
      </c>
      <c r="H38" s="55">
        <f>SUMPRODUCT(E30:E37,H30:H37)/E38</f>
        <v>4.734628629</v>
      </c>
      <c r="I38" s="53">
        <f t="shared" si="7"/>
        <v>0.7794860594</v>
      </c>
      <c r="J38" s="56">
        <f t="shared" ref="J38:K38" si="9">SUM(J30:J37)</f>
        <v>17.08822061</v>
      </c>
      <c r="K38" s="56">
        <f t="shared" si="9"/>
        <v>103.2660695</v>
      </c>
    </row>
    <row r="39" ht="21.75" customHeight="1"/>
    <row r="40" ht="21.75" customHeight="1">
      <c r="A40" s="3" t="s">
        <v>146</v>
      </c>
    </row>
    <row r="41" ht="27.75" customHeight="1">
      <c r="A41" s="4" t="s">
        <v>54</v>
      </c>
      <c r="B41" s="5" t="s">
        <v>106</v>
      </c>
      <c r="C41" s="5" t="s">
        <v>107</v>
      </c>
      <c r="D41" s="4" t="s">
        <v>108</v>
      </c>
      <c r="E41" s="4" t="s">
        <v>62</v>
      </c>
      <c r="F41" s="4" t="s">
        <v>109</v>
      </c>
      <c r="G41" s="4" t="s">
        <v>110</v>
      </c>
      <c r="H41" s="4" t="s">
        <v>111</v>
      </c>
      <c r="I41" s="4" t="s">
        <v>112</v>
      </c>
      <c r="J41" s="4" t="s">
        <v>44</v>
      </c>
      <c r="K41" s="4" t="s">
        <v>113</v>
      </c>
    </row>
    <row r="42" ht="21.75" customHeight="1">
      <c r="A42" s="9" t="s">
        <v>80</v>
      </c>
      <c r="B42" s="7" t="s">
        <v>114</v>
      </c>
      <c r="C42" s="7" t="s">
        <v>147</v>
      </c>
      <c r="D42" s="9" t="s">
        <v>148</v>
      </c>
      <c r="E42" s="18">
        <f>'2_Route_PnL_and_BLF'!I5*1.25</f>
        <v>167.535</v>
      </c>
      <c r="F42" s="19">
        <v>0.825</v>
      </c>
      <c r="G42" s="17">
        <v>5.38</v>
      </c>
      <c r="H42" s="17">
        <v>4.74</v>
      </c>
      <c r="I42" s="19">
        <f t="shared" ref="I42:I47" si="10">H42/(G42/F42)</f>
        <v>0.7268587361</v>
      </c>
      <c r="J42" s="20">
        <f t="shared" ref="J42:J47" si="11">E42*(G42-H42)/10</f>
        <v>10.72224</v>
      </c>
      <c r="K42" s="20">
        <f>J42-'2_Route_PnL_and_BLF'!U5</f>
        <v>7.478278542</v>
      </c>
    </row>
    <row r="43" ht="21.75" customHeight="1">
      <c r="A43" s="14" t="s">
        <v>83</v>
      </c>
      <c r="B43" s="12" t="s">
        <v>117</v>
      </c>
      <c r="C43" s="12" t="s">
        <v>147</v>
      </c>
      <c r="D43" s="14" t="s">
        <v>148</v>
      </c>
      <c r="E43" s="27">
        <f>'2_Route_PnL_and_BLF'!I6*1.25</f>
        <v>197.1</v>
      </c>
      <c r="F43" s="28">
        <v>0.81</v>
      </c>
      <c r="G43" s="13">
        <v>5.16</v>
      </c>
      <c r="H43" s="13">
        <v>4.56</v>
      </c>
      <c r="I43" s="28">
        <f t="shared" si="10"/>
        <v>0.7158139535</v>
      </c>
      <c r="J43" s="29">
        <f t="shared" si="11"/>
        <v>11.826</v>
      </c>
      <c r="K43" s="29">
        <f>J43-'2_Route_PnL_and_BLF'!U6</f>
        <v>10.69370603</v>
      </c>
    </row>
    <row r="44" ht="21.75" customHeight="1">
      <c r="A44" s="9" t="s">
        <v>85</v>
      </c>
      <c r="B44" s="7" t="s">
        <v>119</v>
      </c>
      <c r="C44" s="7" t="s">
        <v>147</v>
      </c>
      <c r="D44" s="9" t="s">
        <v>148</v>
      </c>
      <c r="E44" s="18">
        <f>'2_Route_PnL_and_BLF'!I7*1.25</f>
        <v>210.24</v>
      </c>
      <c r="F44" s="19">
        <v>0.82</v>
      </c>
      <c r="G44" s="17">
        <v>5.14</v>
      </c>
      <c r="H44" s="17">
        <v>4.48</v>
      </c>
      <c r="I44" s="19">
        <f t="shared" si="10"/>
        <v>0.7147081712</v>
      </c>
      <c r="J44" s="20">
        <f t="shared" si="11"/>
        <v>13.87584</v>
      </c>
      <c r="K44" s="20">
        <f>J44-'2_Route_PnL_and_BLF'!U7</f>
        <v>11.59288638</v>
      </c>
    </row>
    <row r="45" ht="21.75" customHeight="1">
      <c r="A45" s="14" t="s">
        <v>87</v>
      </c>
      <c r="B45" s="12" t="s">
        <v>120</v>
      </c>
      <c r="C45" s="12" t="s">
        <v>149</v>
      </c>
      <c r="D45" s="14" t="s">
        <v>141</v>
      </c>
      <c r="E45" s="27">
        <f>'2_Route_PnL_and_BLF'!I8*0.65</f>
        <v>35.0181</v>
      </c>
      <c r="F45" s="28">
        <v>0.88</v>
      </c>
      <c r="G45" s="13">
        <v>5.68</v>
      </c>
      <c r="H45" s="13">
        <v>4.52</v>
      </c>
      <c r="I45" s="28">
        <f t="shared" si="10"/>
        <v>0.7002816901</v>
      </c>
      <c r="J45" s="29">
        <f t="shared" si="11"/>
        <v>4.0620996</v>
      </c>
      <c r="K45" s="29">
        <f>J45-'2_Route_PnL_and_BLF'!U8</f>
        <v>12.65882286</v>
      </c>
    </row>
    <row r="46" ht="21.75" customHeight="1">
      <c r="A46" s="9" t="s">
        <v>90</v>
      </c>
      <c r="B46" s="7" t="s">
        <v>123</v>
      </c>
      <c r="C46" s="7" t="s">
        <v>150</v>
      </c>
      <c r="D46" s="9" t="s">
        <v>141</v>
      </c>
      <c r="E46" s="18">
        <f>'2_Route_PnL_and_BLF'!I9*0.65</f>
        <v>46.1214</v>
      </c>
      <c r="F46" s="19">
        <v>0.87</v>
      </c>
      <c r="G46" s="17">
        <v>5.52</v>
      </c>
      <c r="H46" s="17">
        <v>4.4</v>
      </c>
      <c r="I46" s="19">
        <f t="shared" si="10"/>
        <v>0.6934782609</v>
      </c>
      <c r="J46" s="20">
        <f t="shared" si="11"/>
        <v>5.1655968</v>
      </c>
      <c r="K46" s="20">
        <f>J46-'2_Route_PnL_and_BLF'!U9</f>
        <v>16.67467265</v>
      </c>
    </row>
    <row r="47" ht="21.75" customHeight="1">
      <c r="A47" s="14" t="s">
        <v>92</v>
      </c>
      <c r="B47" s="12" t="s">
        <v>124</v>
      </c>
      <c r="C47" s="12" t="s">
        <v>149</v>
      </c>
      <c r="D47" s="14" t="s">
        <v>141</v>
      </c>
      <c r="E47" s="27">
        <f>'2_Route_PnL_and_BLF'!I10*0.65</f>
        <v>52.9542</v>
      </c>
      <c r="F47" s="28">
        <v>0.88</v>
      </c>
      <c r="G47" s="13">
        <v>5.42</v>
      </c>
      <c r="H47" s="13">
        <v>4.32</v>
      </c>
      <c r="I47" s="28">
        <f t="shared" si="10"/>
        <v>0.701402214</v>
      </c>
      <c r="J47" s="29">
        <f t="shared" si="11"/>
        <v>5.824962</v>
      </c>
      <c r="K47" s="29">
        <f>J47-'2_Route_PnL_and_BLF'!U10</f>
        <v>16.69624541</v>
      </c>
    </row>
    <row r="48" ht="21.75" customHeight="1">
      <c r="A48" s="9" t="s">
        <v>94</v>
      </c>
      <c r="B48" s="7" t="s">
        <v>126</v>
      </c>
      <c r="C48" s="7" t="s">
        <v>151</v>
      </c>
      <c r="D48" s="9" t="s">
        <v>128</v>
      </c>
      <c r="E48" s="18">
        <v>0.0</v>
      </c>
      <c r="F48" s="19">
        <v>0.0</v>
      </c>
      <c r="G48" s="17">
        <v>0.0</v>
      </c>
      <c r="H48" s="17">
        <v>0.0</v>
      </c>
      <c r="I48" s="19">
        <v>0.0</v>
      </c>
      <c r="J48" s="20">
        <v>0.0</v>
      </c>
      <c r="K48" s="20">
        <f>J48-'2_Route_PnL_and_BLF'!U11</f>
        <v>29.49387043</v>
      </c>
    </row>
    <row r="49" ht="21.75" customHeight="1">
      <c r="A49" s="14" t="s">
        <v>97</v>
      </c>
      <c r="B49" s="12" t="s">
        <v>129</v>
      </c>
      <c r="C49" s="12" t="s">
        <v>151</v>
      </c>
      <c r="D49" s="14" t="s">
        <v>128</v>
      </c>
      <c r="E49" s="27">
        <v>0.0</v>
      </c>
      <c r="F49" s="28">
        <v>0.0</v>
      </c>
      <c r="G49" s="13">
        <v>0.0</v>
      </c>
      <c r="H49" s="13">
        <v>0.0</v>
      </c>
      <c r="I49" s="28">
        <v>0.0</v>
      </c>
      <c r="J49" s="29">
        <v>0.0</v>
      </c>
      <c r="K49" s="29">
        <f>J49-'2_Route_PnL_and_BLF'!U12</f>
        <v>32.36610502</v>
      </c>
    </row>
    <row r="50" ht="21.75" customHeight="1">
      <c r="A50" s="50" t="s">
        <v>99</v>
      </c>
      <c r="B50" s="51" t="s">
        <v>130</v>
      </c>
      <c r="C50" s="51" t="s">
        <v>131</v>
      </c>
      <c r="D50" s="50" t="s">
        <v>132</v>
      </c>
      <c r="E50" s="54">
        <f>SUM(E42:E49)</f>
        <v>708.9687</v>
      </c>
      <c r="F50" s="53">
        <f>SUMPRODUCT(E42:E49,F42:F49)/E50</f>
        <v>0.8290992494</v>
      </c>
      <c r="G50" s="55">
        <f>SUMPRODUCT(E42:E49,G42:G49)/E50</f>
        <v>5.274580669</v>
      </c>
      <c r="H50" s="55">
        <f>SUMPRODUCT(E42:E49,H42:H49)/E50</f>
        <v>4.548501529</v>
      </c>
      <c r="I50" s="53">
        <f>H50/(G50/F50)</f>
        <v>0.7149685331</v>
      </c>
      <c r="J50" s="56">
        <f t="shared" ref="J50:K50" si="12">SUM(J42:J49)</f>
        <v>51.4767384</v>
      </c>
      <c r="K50" s="56">
        <f t="shared" si="12"/>
        <v>137.6545873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printOptions/>
  <pageMargins bottom="1.0" footer="0.0" header="0.0" left="0.75" right="0.75" top="1.0"/>
  <pageSetup fitToHeight="0"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0.0"/>
    <col customWidth="1" min="2" max="2" width="116.0"/>
    <col customWidth="1" min="3" max="3" width="39.0"/>
    <col customWidth="1" min="4" max="4" width="122.0"/>
    <col customWidth="1" min="5" max="5" width="36.0"/>
    <col customWidth="1" min="6" max="6" width="20.0"/>
  </cols>
  <sheetData>
    <row r="1" ht="27.75" customHeight="1">
      <c r="A1" s="1" t="s">
        <v>152</v>
      </c>
    </row>
    <row r="2" ht="19.5" customHeight="1">
      <c r="A2" s="2" t="s">
        <v>153</v>
      </c>
    </row>
    <row r="3" ht="21.75" customHeight="1"/>
    <row r="4" ht="21.75" customHeight="1">
      <c r="A4" s="3" t="s">
        <v>154</v>
      </c>
    </row>
    <row r="5" ht="27.75" customHeight="1">
      <c r="A5" s="4" t="s">
        <v>155</v>
      </c>
      <c r="B5" s="57">
        <v>-0.06</v>
      </c>
      <c r="C5" s="57">
        <v>-0.03</v>
      </c>
      <c r="D5" s="57">
        <v>0.0</v>
      </c>
      <c r="E5" s="57">
        <v>0.03</v>
      </c>
      <c r="F5" s="57">
        <v>0.06</v>
      </c>
    </row>
    <row r="6" ht="21.75" customHeight="1">
      <c r="A6" s="58">
        <v>85000.0</v>
      </c>
      <c r="B6" s="20">
        <f>'3_Strategic_Options_ABC'!$E$50*(('3_Strategic_Options_ABC'!$G$50*(1+B$5))-('3_Strategic_Options_ABC'!$H$50*0.65 + '3_Strategic_Options_ABC'!$H$50*0.35*($A6/104927)))/10</f>
        <v>50.47439768</v>
      </c>
      <c r="C6" s="20">
        <f>'3_Strategic_Options_ABC'!$E$50*(('3_Strategic_Options_ABC'!$G$50*(1+C$5))-('3_Strategic_Options_ABC'!$H$50*0.65 + '3_Strategic_Options_ABC'!$H$50*0.35*($A6/104927)))/10</f>
        <v>61.69293548</v>
      </c>
      <c r="D6" s="20">
        <f>'3_Strategic_Options_ABC'!$E$50*(('3_Strategic_Options_ABC'!$G$50*(1+D$5))-('3_Strategic_Options_ABC'!$H$50*0.65 + '3_Strategic_Options_ABC'!$H$50*0.35*($A6/104927)))/10</f>
        <v>72.91147328</v>
      </c>
      <c r="E6" s="20">
        <f>'3_Strategic_Options_ABC'!$E$50*(('3_Strategic_Options_ABC'!$G$50*(1+E$5))-('3_Strategic_Options_ABC'!$H$50*0.65 + '3_Strategic_Options_ABC'!$H$50*0.35*($A6/104927)))/10</f>
        <v>84.13001108</v>
      </c>
      <c r="F6" s="20">
        <f>'3_Strategic_Options_ABC'!$E$50*(('3_Strategic_Options_ABC'!$G$50*(1+F$5))-('3_Strategic_Options_ABC'!$H$50*0.65 + '3_Strategic_Options_ABC'!$H$50*0.35*($A6/104927)))/10</f>
        <v>95.34854888</v>
      </c>
    </row>
    <row r="7" ht="21.75" customHeight="1">
      <c r="A7" s="58">
        <v>95000.0</v>
      </c>
      <c r="B7" s="20">
        <f>'3_Strategic_Options_ABC'!$E$50*(('3_Strategic_Options_ABC'!$G$50*(1+B$5))-('3_Strategic_Options_ABC'!$H$50*0.65 + '3_Strategic_Options_ABC'!$H$50*0.35*($A7/104927)))/10</f>
        <v>39.71776855</v>
      </c>
      <c r="C7" s="20">
        <f>'3_Strategic_Options_ABC'!$E$50*(('3_Strategic_Options_ABC'!$G$50*(1+C$5))-('3_Strategic_Options_ABC'!$H$50*0.65 + '3_Strategic_Options_ABC'!$H$50*0.35*($A7/104927)))/10</f>
        <v>50.93630635</v>
      </c>
      <c r="D7" s="20">
        <f>'3_Strategic_Options_ABC'!$E$50*(('3_Strategic_Options_ABC'!$G$50*(1+D$5))-('3_Strategic_Options_ABC'!$H$50*0.65 + '3_Strategic_Options_ABC'!$H$50*0.35*($A7/104927)))/10</f>
        <v>62.15484415</v>
      </c>
      <c r="E7" s="20">
        <f>'3_Strategic_Options_ABC'!$E$50*(('3_Strategic_Options_ABC'!$G$50*(1+E$5))-('3_Strategic_Options_ABC'!$H$50*0.65 + '3_Strategic_Options_ABC'!$H$50*0.35*($A7/104927)))/10</f>
        <v>73.37338195</v>
      </c>
      <c r="F7" s="20">
        <f>'3_Strategic_Options_ABC'!$E$50*(('3_Strategic_Options_ABC'!$G$50*(1+F$5))-('3_Strategic_Options_ABC'!$H$50*0.65 + '3_Strategic_Options_ABC'!$H$50*0.35*($A7/104927)))/10</f>
        <v>84.59191975</v>
      </c>
    </row>
    <row r="8" ht="21.75" customHeight="1">
      <c r="A8" s="58">
        <v>104927.0</v>
      </c>
      <c r="B8" s="20">
        <f>'3_Strategic_Options_ABC'!$E$50*(('3_Strategic_Options_ABC'!$G$50*(1+B$5))-('3_Strategic_Options_ABC'!$H$50*0.65 + '3_Strategic_Options_ABC'!$H$50*0.35*($A8/104927)))/10</f>
        <v>29.0396628</v>
      </c>
      <c r="C8" s="20">
        <f>'3_Strategic_Options_ABC'!$E$50*(('3_Strategic_Options_ABC'!$G$50*(1+C$5))-('3_Strategic_Options_ABC'!$H$50*0.65 + '3_Strategic_Options_ABC'!$H$50*0.35*($A8/104927)))/10</f>
        <v>40.2582006</v>
      </c>
      <c r="D8" s="59">
        <f>'3_Strategic_Options_ABC'!$E$50*(('3_Strategic_Options_ABC'!$G$50*(1+D$5))-('3_Strategic_Options_ABC'!$H$50*0.65 + '3_Strategic_Options_ABC'!$H$50*0.35*($A8/104927)))/10</f>
        <v>51.4767384</v>
      </c>
      <c r="E8" s="20">
        <f>'3_Strategic_Options_ABC'!$E$50*(('3_Strategic_Options_ABC'!$G$50*(1+E$5))-('3_Strategic_Options_ABC'!$H$50*0.65 + '3_Strategic_Options_ABC'!$H$50*0.35*($A8/104927)))/10</f>
        <v>62.6952762</v>
      </c>
      <c r="F8" s="20">
        <f>'3_Strategic_Options_ABC'!$E$50*(('3_Strategic_Options_ABC'!$G$50*(1+F$5))-('3_Strategic_Options_ABC'!$H$50*0.65 + '3_Strategic_Options_ABC'!$H$50*0.35*($A8/104927)))/10</f>
        <v>73.913814</v>
      </c>
    </row>
    <row r="9" ht="21.75" customHeight="1">
      <c r="A9" s="58">
        <v>115000.0</v>
      </c>
      <c r="B9" s="42">
        <f>'3_Strategic_Options_ABC'!$E$50*(('3_Strategic_Options_ABC'!$G$50*(1+B$5))-('3_Strategic_Options_ABC'!$H$50*0.65 + '3_Strategic_Options_ABC'!$H$50*0.35*($A9/104927)))/10</f>
        <v>18.20451027</v>
      </c>
      <c r="C9" s="42">
        <f>'3_Strategic_Options_ABC'!$E$50*(('3_Strategic_Options_ABC'!$G$50*(1+C$5))-('3_Strategic_Options_ABC'!$H$50*0.65 + '3_Strategic_Options_ABC'!$H$50*0.35*($A9/104927)))/10</f>
        <v>29.42304807</v>
      </c>
      <c r="D9" s="20">
        <f>'3_Strategic_Options_ABC'!$E$50*(('3_Strategic_Options_ABC'!$G$50*(1+D$5))-('3_Strategic_Options_ABC'!$H$50*0.65 + '3_Strategic_Options_ABC'!$H$50*0.35*($A9/104927)))/10</f>
        <v>40.64158587</v>
      </c>
      <c r="E9" s="20">
        <f>'3_Strategic_Options_ABC'!$E$50*(('3_Strategic_Options_ABC'!$G$50*(1+E$5))-('3_Strategic_Options_ABC'!$H$50*0.65 + '3_Strategic_Options_ABC'!$H$50*0.35*($A9/104927)))/10</f>
        <v>51.86012367</v>
      </c>
      <c r="F9" s="20">
        <f>'3_Strategic_Options_ABC'!$E$50*(('3_Strategic_Options_ABC'!$G$50*(1+F$5))-('3_Strategic_Options_ABC'!$H$50*0.65 + '3_Strategic_Options_ABC'!$H$50*0.35*($A9/104927)))/10</f>
        <v>63.07866147</v>
      </c>
    </row>
    <row r="10" ht="21.75" customHeight="1">
      <c r="A10" s="58">
        <v>125000.0</v>
      </c>
      <c r="B10" s="42">
        <f>'3_Strategic_Options_ABC'!$E$50*(('3_Strategic_Options_ABC'!$G$50*(1+B$5))-('3_Strategic_Options_ABC'!$H$50*0.65 + '3_Strategic_Options_ABC'!$H$50*0.35*($A10/104927)))/10</f>
        <v>7.447881131</v>
      </c>
      <c r="C10" s="42">
        <f>'3_Strategic_Options_ABC'!$E$50*(('3_Strategic_Options_ABC'!$G$50*(1+C$5))-('3_Strategic_Options_ABC'!$H$50*0.65 + '3_Strategic_Options_ABC'!$H$50*0.35*($A10/104927)))/10</f>
        <v>18.66641893</v>
      </c>
      <c r="D10" s="20">
        <f>'3_Strategic_Options_ABC'!$E$50*(('3_Strategic_Options_ABC'!$G$50*(1+D$5))-('3_Strategic_Options_ABC'!$H$50*0.65 + '3_Strategic_Options_ABC'!$H$50*0.35*($A10/104927)))/10</f>
        <v>29.88495673</v>
      </c>
      <c r="E10" s="20">
        <f>'3_Strategic_Options_ABC'!$E$50*(('3_Strategic_Options_ABC'!$G$50*(1+E$5))-('3_Strategic_Options_ABC'!$H$50*0.65 + '3_Strategic_Options_ABC'!$H$50*0.35*($A10/104927)))/10</f>
        <v>41.10349453</v>
      </c>
      <c r="F10" s="20">
        <f>'3_Strategic_Options_ABC'!$E$50*(('3_Strategic_Options_ABC'!$G$50*(1+F$5))-('3_Strategic_Options_ABC'!$H$50*0.65 + '3_Strategic_Options_ABC'!$H$50*0.35*($A10/104927)))/10</f>
        <v>52.32203233</v>
      </c>
    </row>
    <row r="11" ht="21.75" customHeight="1"/>
    <row r="12" ht="21.75" customHeight="1"/>
    <row r="13" ht="21.75" customHeight="1">
      <c r="A13" s="3" t="s">
        <v>156</v>
      </c>
    </row>
    <row r="14" ht="27.75" customHeight="1">
      <c r="A14" s="4" t="s">
        <v>157</v>
      </c>
      <c r="B14" s="5" t="s">
        <v>158</v>
      </c>
      <c r="C14" s="4" t="s">
        <v>159</v>
      </c>
      <c r="D14" s="5" t="s">
        <v>160</v>
      </c>
      <c r="E14" s="4" t="s">
        <v>161</v>
      </c>
      <c r="F14" s="4" t="s">
        <v>162</v>
      </c>
    </row>
    <row r="15" ht="21.75" customHeight="1">
      <c r="A15" s="60" t="s">
        <v>163</v>
      </c>
      <c r="B15" s="12" t="s">
        <v>164</v>
      </c>
      <c r="C15" s="29">
        <f>'3_Strategic_Options_ABC'!J50-24.8</f>
        <v>26.6767384</v>
      </c>
      <c r="D15" s="12" t="s">
        <v>165</v>
      </c>
      <c r="E15" s="29">
        <f>C15+19.4</f>
        <v>46.0767384</v>
      </c>
      <c r="F15" s="28">
        <v>0.785</v>
      </c>
    </row>
    <row r="16" ht="21.75" customHeight="1">
      <c r="A16" s="61" t="s">
        <v>166</v>
      </c>
      <c r="B16" s="7" t="s">
        <v>167</v>
      </c>
      <c r="C16" s="20">
        <f>'3_Strategic_Options_ABC'!J50-16.2</f>
        <v>35.2767384</v>
      </c>
      <c r="D16" s="7" t="s">
        <v>168</v>
      </c>
      <c r="E16" s="20">
        <f>C16+13.5</f>
        <v>48.7767384</v>
      </c>
      <c r="F16" s="19">
        <v>0.768</v>
      </c>
    </row>
    <row r="17" ht="21.75" customHeight="1">
      <c r="A17" s="60" t="s">
        <v>169</v>
      </c>
      <c r="B17" s="12" t="s">
        <v>170</v>
      </c>
      <c r="C17" s="29">
        <f>'3_Strategic_Options_ABC'!J50-14.5</f>
        <v>36.9767384</v>
      </c>
      <c r="D17" s="12" t="s">
        <v>171</v>
      </c>
      <c r="E17" s="29">
        <f>C17+11.2</f>
        <v>48.1767384</v>
      </c>
      <c r="F17" s="28">
        <v>0.774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fitToHeight="0" paperSize="9" orientation="landscape"/>
  <drawing r:id="rId1"/>
</worksheet>
</file>